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ftar Kode" sheetId="1" state="visible" r:id="rId3"/>
    <sheet name="Ringkasan" sheetId="2" state="visible" r:id="rId4"/>
  </sheets>
  <definedNames>
    <definedName function="false" hidden="true" localSheetId="0" name="_xlnm._FilterDatabase" vbProcedure="false">'Daftar Kode'!$A$1:$H$117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<sst xmlns="http://schemas.openxmlformats.org/spreadsheetml/2006/main" count="784" uniqueCount="304">
  <si>
    <t xml:space="preserve">No</t>
  </si>
  <si>
    <t xml:space="preserve">Kode ICD-10</t>
  </si>
  <si>
    <t xml:space="preserve">Deskripsi</t>
  </si>
  <si>
    <t xml:space="preserve">Kelompok</t>
  </si>
  <si>
    <t xml:space="preserve">Kategori</t>
  </si>
  <si>
    <t xml:space="preserve">Sumber</t>
  </si>
  <si>
    <t xml:space="preserve">Trimester (SATUSEHAT)</t>
  </si>
  <si>
    <t xml:space="preserve">Catatan verifikasi</t>
  </si>
  <si>
    <t xml:space="preserve">Z32.0</t>
  </si>
  <si>
    <t xml:space="preserve">Kehamilan belum dipastikan</t>
  </si>
  <si>
    <t xml:space="preserve">Kunjungan (Bab Z)</t>
  </si>
  <si>
    <t xml:space="preserve">Z32 Pemeriksaan dan uji kehamilan</t>
  </si>
  <si>
    <t xml:space="preserve">WHO</t>
  </si>
  <si>
    <t xml:space="preserve">Dari struktur ICD-10 WHO (ingatan), belum diverifikasi ulang</t>
  </si>
  <si>
    <t xml:space="preserve">Z32.1</t>
  </si>
  <si>
    <t xml:space="preserve">Kehamilan dipastikan</t>
  </si>
  <si>
    <t xml:space="preserve">Z33</t>
  </si>
  <si>
    <t xml:space="preserve">Keadaan hamil insidental</t>
  </si>
  <si>
    <t xml:space="preserve">Z33 Keadaan hamil</t>
  </si>
  <si>
    <t xml:space="preserve">Z34.0</t>
  </si>
  <si>
    <t xml:space="preserve">Pengawasan kehamilan pertama yang normal</t>
  </si>
  <si>
    <t xml:space="preserve">Z34 Pengawasan kehamilan normal</t>
  </si>
  <si>
    <t xml:space="preserve">Terverifikasi di teks ICD-10 Vol.1 (terjemahan Indonesia)</t>
  </si>
  <si>
    <t xml:space="preserve">Z34.8</t>
  </si>
  <si>
    <t xml:space="preserve">Pengawasan kehamilan normal lainnya</t>
  </si>
  <si>
    <t xml:space="preserve">Z34.9</t>
  </si>
  <si>
    <t xml:space="preserve">Pengawasan kehamilan normal, tidak dijelaskan</t>
  </si>
  <si>
    <t xml:space="preserve">Z35.0</t>
  </si>
  <si>
    <t xml:space="preserve">Pengawasan kehamilan dengan riwayat infertilitas</t>
  </si>
  <si>
    <t xml:space="preserve">Z35 Pengawasan kehamilan risiko tinggi</t>
  </si>
  <si>
    <t xml:space="preserve">Z35.1</t>
  </si>
  <si>
    <t xml:space="preserve">Pengawasan kehamilan dengan riwayat abortus</t>
  </si>
  <si>
    <t xml:space="preserve">Z35.2</t>
  </si>
  <si>
    <t xml:space="preserve">Pengawasan kehamilan dengan riwayat obstetri buruk lainnya</t>
  </si>
  <si>
    <t xml:space="preserve">Z35.3</t>
  </si>
  <si>
    <t xml:space="preserve">Pengawasan kehamilan dengan riwayat ANC tidak memadai</t>
  </si>
  <si>
    <t xml:space="preserve">Z35.4</t>
  </si>
  <si>
    <t xml:space="preserve">Pengawasan kehamilan dengan grande multipara</t>
  </si>
  <si>
    <t xml:space="preserve">Z35.5</t>
  </si>
  <si>
    <t xml:space="preserve">Pengawasan primigravida tua</t>
  </si>
  <si>
    <t xml:space="preserve">Z35.6</t>
  </si>
  <si>
    <t xml:space="preserve">Pengawasan primigravida sangat muda</t>
  </si>
  <si>
    <t xml:space="preserve">Z35.7</t>
  </si>
  <si>
    <t xml:space="preserve">Pengawasan kehamilan risiko tinggi karena masalah sosial</t>
  </si>
  <si>
    <t xml:space="preserve">Z35.8</t>
  </si>
  <si>
    <t xml:space="preserve">Pengawasan kehamilan risiko tinggi lainnya</t>
  </si>
  <si>
    <t xml:space="preserve">Z35.9</t>
  </si>
  <si>
    <t xml:space="preserve">Pengawasan kehamilan risiko tinggi, tidak dijelaskan</t>
  </si>
  <si>
    <t xml:space="preserve">Z36.0</t>
  </si>
  <si>
    <t xml:space="preserve">Skrining antenatal kelainan kromosom</t>
  </si>
  <si>
    <t xml:space="preserve">Z36 Skrining antenatal</t>
  </si>
  <si>
    <t xml:space="preserve">Z36.1</t>
  </si>
  <si>
    <t xml:space="preserve">Skrining antenatal kadar AFP tinggi</t>
  </si>
  <si>
    <t xml:space="preserve">Z36.2</t>
  </si>
  <si>
    <t xml:space="preserve">Skrining antenatal lain berbasis amniosentesis</t>
  </si>
  <si>
    <t xml:space="preserve">Z36.3</t>
  </si>
  <si>
    <t xml:space="preserve">Skrining antenatal malformasi dengan USG</t>
  </si>
  <si>
    <t xml:space="preserve">Z36.4</t>
  </si>
  <si>
    <t xml:space="preserve">Skrining antenatal gangguan pertumbuhan janin dengan USG</t>
  </si>
  <si>
    <t xml:space="preserve">Z36.5</t>
  </si>
  <si>
    <t xml:space="preserve">Skrining antenatal isoimunisasi</t>
  </si>
  <si>
    <t xml:space="preserve">Z36.8</t>
  </si>
  <si>
    <t xml:space="preserve">Skrining antenatal lainnya</t>
  </si>
  <si>
    <t xml:space="preserve">Z36.9</t>
  </si>
  <si>
    <t xml:space="preserve">Skrining antenatal, tidak dijelaskan</t>
  </si>
  <si>
    <t xml:space="preserve">O20.0</t>
  </si>
  <si>
    <t xml:space="preserve">Abortus iminens (ancaman abortus)</t>
  </si>
  <si>
    <t xml:space="preserve">Penyulit (Bab O)</t>
  </si>
  <si>
    <t xml:space="preserve">O20 Perdarahan pada kehamilan dini</t>
  </si>
  <si>
    <t xml:space="preserve">SATUSEHAT + WHO</t>
  </si>
  <si>
    <t xml:space="preserve">1</t>
  </si>
  <si>
    <t xml:space="preserve">Terverifikasi di lampiran SATUSEHAT ANC</t>
  </si>
  <si>
    <t xml:space="preserve">O03.4</t>
  </si>
  <si>
    <t xml:space="preserve">Abortus spontan inkomplit tanpa komplikasi</t>
  </si>
  <si>
    <t xml:space="preserve">O03 Abortus spontan</t>
  </si>
  <si>
    <t xml:space="preserve">O03.9</t>
  </si>
  <si>
    <t xml:space="preserve">Abortus spontan komplit/tidak dijelaskan tanpa komplikasi</t>
  </si>
  <si>
    <t xml:space="preserve">O02.0</t>
  </si>
  <si>
    <t xml:space="preserve">Blighted ovum dan mola non-hidatidiformis</t>
  </si>
  <si>
    <t xml:space="preserve">O02 Produk abnormal pembuahan</t>
  </si>
  <si>
    <t xml:space="preserve">O02.1</t>
  </si>
  <si>
    <t xml:space="preserve">Missed abortion</t>
  </si>
  <si>
    <t xml:space="preserve">O00.1</t>
  </si>
  <si>
    <t xml:space="preserve">Kehamilan ektopik tuba</t>
  </si>
  <si>
    <t xml:space="preserve">O00 Kehamilan ektopik</t>
  </si>
  <si>
    <t xml:space="preserve">O00.0</t>
  </si>
  <si>
    <t xml:space="preserve">Kehamilan abdominal</t>
  </si>
  <si>
    <t xml:space="preserve">O01.0</t>
  </si>
  <si>
    <t xml:space="preserve">Mola hidatidosa klasik</t>
  </si>
  <si>
    <t xml:space="preserve">O01 Mola hidatidosa</t>
  </si>
  <si>
    <t xml:space="preserve">O01.1</t>
  </si>
  <si>
    <t xml:space="preserve">Mola hidatidosa inkomplit dan parsial</t>
  </si>
  <si>
    <t xml:space="preserve">O21.0</t>
  </si>
  <si>
    <t xml:space="preserve">Hiperemesis gravidarum ringan</t>
  </si>
  <si>
    <t xml:space="preserve">O21 Muntah berlebihan pada kehamilan</t>
  </si>
  <si>
    <t xml:space="preserve">O21.1</t>
  </si>
  <si>
    <t xml:space="preserve">Hiperemesis gravidarum dengan gangguan metabolik</t>
  </si>
  <si>
    <t xml:space="preserve">O08.0</t>
  </si>
  <si>
    <t xml:space="preserve">Infeksi saluran genital dan pelvik pasca abortus/ektopik/mola</t>
  </si>
  <si>
    <t xml:space="preserve">O08 Komplikasi abortus, ektopik, mola</t>
  </si>
  <si>
    <t xml:space="preserve">O08.1</t>
  </si>
  <si>
    <t xml:space="preserve">Perdarahan terlambat atau berlebihan pasca abortus/ektopik/mola</t>
  </si>
  <si>
    <t xml:space="preserve">O08.3</t>
  </si>
  <si>
    <t xml:space="preserve">Syok pasca abortus/ektopik/mola</t>
  </si>
  <si>
    <t xml:space="preserve">O08.5</t>
  </si>
  <si>
    <t xml:space="preserve">Kelainan metabolik pasca abortus/ektopik/mola</t>
  </si>
  <si>
    <t xml:space="preserve">O08.6</t>
  </si>
  <si>
    <t xml:space="preserve">Kerusakan organ dan jaringan pelvik pasca abortus/ektopik/mola</t>
  </si>
  <si>
    <t xml:space="preserve">O10.0</t>
  </si>
  <si>
    <t xml:space="preserve">Hipertensi esensial yang sudah ada sebelumnya (hipertensi kronis)</t>
  </si>
  <si>
    <t xml:space="preserve">O10 Hipertensi yang sudah ada sebelumnya</t>
  </si>
  <si>
    <t xml:space="preserve">2-3</t>
  </si>
  <si>
    <t xml:space="preserve">O11</t>
  </si>
  <si>
    <t xml:space="preserve">Hipertensi sebelumnya dengan proteinuria tambahan (superimposed preeklamsia)</t>
  </si>
  <si>
    <t xml:space="preserve">O13</t>
  </si>
  <si>
    <t xml:space="preserve">Hipertensi gestasional tanpa proteinuria bermakna</t>
  </si>
  <si>
    <t xml:space="preserve">O14.0</t>
  </si>
  <si>
    <t xml:space="preserve">Preeklamsia sedang</t>
  </si>
  <si>
    <t xml:space="preserve">O14 Hipertensi gestasional dengan proteinuria</t>
  </si>
  <si>
    <t xml:space="preserve">O14.1</t>
  </si>
  <si>
    <t xml:space="preserve">Preeklamsia berat</t>
  </si>
  <si>
    <t xml:space="preserve">O14.2</t>
  </si>
  <si>
    <t xml:space="preserve">Sindrom HELLP</t>
  </si>
  <si>
    <t xml:space="preserve">SATUSEHAT (tidak ada di WHO 2010)</t>
  </si>
  <si>
    <t xml:space="preserve">Terverifikasi di lampiran SATUSEHAT ANC; tidak ditemukan di teks ICD-10 Vol.1 versi 2010 yang dibaca (kemungkinan dari pembaruan WHO lebih baru), konfirmasi ke SATUSEHAT/vendor RME</t>
  </si>
  <si>
    <t xml:space="preserve">O15.0</t>
  </si>
  <si>
    <t xml:space="preserve">Eklamsia pada kehamilan</t>
  </si>
  <si>
    <t xml:space="preserve">O15 Eklamsia</t>
  </si>
  <si>
    <t xml:space="preserve">O22.4</t>
  </si>
  <si>
    <t xml:space="preserve">Hemoroid pada kehamilan</t>
  </si>
  <si>
    <t xml:space="preserve">O22 Komplikasi vena pada kehamilan</t>
  </si>
  <si>
    <t xml:space="preserve">O23.3</t>
  </si>
  <si>
    <t xml:space="preserve">Infeksi bagian lain saluran kemih pada kehamilan (ISK)</t>
  </si>
  <si>
    <t xml:space="preserve">O23 Infeksi genitourinaria pada kehamilan</t>
  </si>
  <si>
    <t xml:space="preserve">Terverifikasi di lampiran SATUSEHAT ANC; juga ada di daftar tambahan WHO (dihitung sekali)</t>
  </si>
  <si>
    <t xml:space="preserve">O23.5</t>
  </si>
  <si>
    <t xml:space="preserve">Infeksi saluran genital pada kehamilan (BV/fluor albus)</t>
  </si>
  <si>
    <t xml:space="preserve">O24.3</t>
  </si>
  <si>
    <t xml:space="preserve">Diabetes melitus sebelumnya, tidak dijelaskan (DM pragestasional)</t>
  </si>
  <si>
    <t xml:space="preserve">O24 Diabetes dalam kehamilan</t>
  </si>
  <si>
    <t xml:space="preserve">O24.4</t>
  </si>
  <si>
    <t xml:space="preserve">Diabetes melitus yang muncul saat hamil (DM gestasional)</t>
  </si>
  <si>
    <t xml:space="preserve">O99.2</t>
  </si>
  <si>
    <t xml:space="preserve">Penyakit endokrin, gizi, dan metabolik yang mempersulit kehamilan (dipakai untuk obesitas)</t>
  </si>
  <si>
    <t xml:space="preserve">O99 Penyakit maternal lainnya</t>
  </si>
  <si>
    <t xml:space="preserve">O25</t>
  </si>
  <si>
    <t xml:space="preserve">Malnutrisi pada kehamilan (underweight)</t>
  </si>
  <si>
    <t xml:space="preserve">O26.2</t>
  </si>
  <si>
    <t xml:space="preserve">Perawatan kehamilan untuk abortus habitualis</t>
  </si>
  <si>
    <t xml:space="preserve">O26 Asuhan ibu kondisi lain terkait kehamilan</t>
  </si>
  <si>
    <t xml:space="preserve">O26.6</t>
  </si>
  <si>
    <t xml:space="preserve">Kelainan hati pada kehamilan</t>
  </si>
  <si>
    <t xml:space="preserve">O30.0</t>
  </si>
  <si>
    <t xml:space="preserve">Kehamilan kembar dua</t>
  </si>
  <si>
    <t xml:space="preserve">O30 Kehamilan ganda</t>
  </si>
  <si>
    <t xml:space="preserve">O30.1</t>
  </si>
  <si>
    <t xml:space="preserve">Kehamilan kembar tiga</t>
  </si>
  <si>
    <t xml:space="preserve">O31.8</t>
  </si>
  <si>
    <t xml:space="preserve">Komplikasi lain khusus kehamilan ganda</t>
  </si>
  <si>
    <t xml:space="preserve">O31 Komplikasi kehamilan ganda</t>
  </si>
  <si>
    <t xml:space="preserve">O32.1</t>
  </si>
  <si>
    <t xml:space="preserve">Asuhan ibu untuk presentasi sungsang</t>
  </si>
  <si>
    <t xml:space="preserve">O32 Malpresentasi janin</t>
  </si>
  <si>
    <t xml:space="preserve">O32.2</t>
  </si>
  <si>
    <t xml:space="preserve">Asuhan ibu untuk letak lintang dan oblik</t>
  </si>
  <si>
    <t xml:space="preserve">O34.0</t>
  </si>
  <si>
    <t xml:space="preserve">Asuhan ibu untuk malformasi kongenital uterus</t>
  </si>
  <si>
    <t xml:space="preserve">O34 Kelainan organ pelvik</t>
  </si>
  <si>
    <t xml:space="preserve">O34.1</t>
  </si>
  <si>
    <t xml:space="preserve">Asuhan ibu untuk tumor korpus uteri</t>
  </si>
  <si>
    <t xml:space="preserve">O34.2</t>
  </si>
  <si>
    <t xml:space="preserve">Asuhan ibu untuk jaringan parut uterus (bekas SC)</t>
  </si>
  <si>
    <t xml:space="preserve">O34.3</t>
  </si>
  <si>
    <t xml:space="preserve">Asuhan ibu untuk inkompetensi serviks</t>
  </si>
  <si>
    <t xml:space="preserve">O34.8</t>
  </si>
  <si>
    <t xml:space="preserve">Asuhan ibu untuk kelainan organ pelvik lain (misal prolaps)</t>
  </si>
  <si>
    <t xml:space="preserve">O35.9</t>
  </si>
  <si>
    <t xml:space="preserve">Asuhan ibu untuk kelainan/kerusakan janin, tidak dijelaskan</t>
  </si>
  <si>
    <t xml:space="preserve">O35 Kelainan dan kerusakan janin</t>
  </si>
  <si>
    <t xml:space="preserve">O36.0</t>
  </si>
  <si>
    <t xml:space="preserve">Asuhan ibu untuk isoimunisasi rhesus</t>
  </si>
  <si>
    <t xml:space="preserve">O36 Masalah janin lain</t>
  </si>
  <si>
    <t xml:space="preserve">O36.2</t>
  </si>
  <si>
    <t xml:space="preserve">Asuhan ibu untuk hidrops fetalis</t>
  </si>
  <si>
    <t xml:space="preserve">O36.4</t>
  </si>
  <si>
    <t xml:space="preserve">Asuhan ibu untuk kematian intrauterus (IUFD)</t>
  </si>
  <si>
    <t xml:space="preserve">O36.5</t>
  </si>
  <si>
    <t xml:space="preserve">Asuhan ibu untuk pertumbuhan janin lambat (IUGR)</t>
  </si>
  <si>
    <t xml:space="preserve">O36.6</t>
  </si>
  <si>
    <t xml:space="preserve">Asuhan ibu untuk pertumbuhan janin berlebihan (makrosomia)</t>
  </si>
  <si>
    <t xml:space="preserve">O40</t>
  </si>
  <si>
    <t xml:space="preserve">Polihidramnion</t>
  </si>
  <si>
    <t xml:space="preserve">O41.0</t>
  </si>
  <si>
    <t xml:space="preserve">Oligohidramnion</t>
  </si>
  <si>
    <t xml:space="preserve">O41 Kelainan cairan dan selaput ketuban</t>
  </si>
  <si>
    <t xml:space="preserve">O41.1</t>
  </si>
  <si>
    <t xml:space="preserve">Infeksi kantong dan selaput ketuban (korioamnionitis)</t>
  </si>
  <si>
    <t xml:space="preserve">O42.2</t>
  </si>
  <si>
    <t xml:space="preserve">Ketuban pecah dini, persalinan diperlambat oleh terapi (konservatif)</t>
  </si>
  <si>
    <t xml:space="preserve">O42 Ketuban pecah dini</t>
  </si>
  <si>
    <t xml:space="preserve">O42.0</t>
  </si>
  <si>
    <t xml:space="preserve">Ketuban pecah dini, persalinan mulai dalam 24 jam</t>
  </si>
  <si>
    <t xml:space="preserve">O42.1</t>
  </si>
  <si>
    <t xml:space="preserve">Ketuban pecah dini, persalinan mulai setelah 24 jam</t>
  </si>
  <si>
    <t xml:space="preserve">O43.2</t>
  </si>
  <si>
    <t xml:space="preserve">Plasenta akreta (morbidly adherent placenta)</t>
  </si>
  <si>
    <t xml:space="preserve">O43 Kelainan plasenta</t>
  </si>
  <si>
    <t xml:space="preserve">O44.1</t>
  </si>
  <si>
    <t xml:space="preserve">Plasenta previa dengan perdarahan</t>
  </si>
  <si>
    <t xml:space="preserve">O44 Plasenta previa</t>
  </si>
  <si>
    <t xml:space="preserve">O45.8</t>
  </si>
  <si>
    <t xml:space="preserve">Pemisahan prematur plasenta lainnya (solusio plasenta)</t>
  </si>
  <si>
    <t xml:space="preserve">O45 Pemisahan prematur plasenta</t>
  </si>
  <si>
    <t xml:space="preserve">O48</t>
  </si>
  <si>
    <t xml:space="preserve">Kehamilan lewat waktu (postterm)</t>
  </si>
  <si>
    <t xml:space="preserve">O26.9</t>
  </si>
  <si>
    <t xml:space="preserve">Kondisi terkait kehamilan, tidak dijelaskan (komplikasi obstetri lain)</t>
  </si>
  <si>
    <t xml:space="preserve">O98.0</t>
  </si>
  <si>
    <t xml:space="preserve">Tuberkulosis yang mempersulit kehamilan</t>
  </si>
  <si>
    <t xml:space="preserve">O98 Penyakit infeksi dan parasit ibu</t>
  </si>
  <si>
    <t xml:space="preserve">Terverifikasi di teks ICD-10 Vol.1 (terjemahan Indonesia); tidak ada di lampiran ANC SATUSEHAT</t>
  </si>
  <si>
    <t xml:space="preserve">O98.1</t>
  </si>
  <si>
    <t xml:space="preserve">Sifilis yang mempersulit kehamilan</t>
  </si>
  <si>
    <t xml:space="preserve">O98.2</t>
  </si>
  <si>
    <t xml:space="preserve">Gonore yang mempersulit kehamilan</t>
  </si>
  <si>
    <t xml:space="preserve">O98.3</t>
  </si>
  <si>
    <t xml:space="preserve">Infeksi menular seksual lain yang mempersulit kehamilan</t>
  </si>
  <si>
    <t xml:space="preserve">O98.4</t>
  </si>
  <si>
    <t xml:space="preserve">Hepatitis virus yang mempersulit kehamilan</t>
  </si>
  <si>
    <t xml:space="preserve">O98.5</t>
  </si>
  <si>
    <t xml:space="preserve">Penyakit virus lain yang mempersulit kehamilan</t>
  </si>
  <si>
    <t xml:space="preserve">O98.6</t>
  </si>
  <si>
    <t xml:space="preserve">Penyakit protozoa yang mempersulit kehamilan (termasuk malaria)</t>
  </si>
  <si>
    <t xml:space="preserve">O98.8</t>
  </si>
  <si>
    <t xml:space="preserve">Penyakit infeksi dan parasit lain yang mempersulit kehamilan</t>
  </si>
  <si>
    <t xml:space="preserve">O98.9</t>
  </si>
  <si>
    <t xml:space="preserve">Penyakit infeksi dan parasit ibu, tidak dijelaskan</t>
  </si>
  <si>
    <t xml:space="preserve">O99.0</t>
  </si>
  <si>
    <t xml:space="preserve">Anemia yang mempersulit kehamilan</t>
  </si>
  <si>
    <t xml:space="preserve">O99.1</t>
  </si>
  <si>
    <t xml:space="preserve">Penyakit darah dan gangguan imun lain yang mempersulit kehamilan</t>
  </si>
  <si>
    <t xml:space="preserve">O99.3</t>
  </si>
  <si>
    <t xml:space="preserve">Gangguan jiwa dan penyakit saraf yang mempersulit kehamilan</t>
  </si>
  <si>
    <t xml:space="preserve">O99.4</t>
  </si>
  <si>
    <t xml:space="preserve">Penyakit sistem sirkulasi yang mempersulit kehamilan</t>
  </si>
  <si>
    <t xml:space="preserve">O99.5</t>
  </si>
  <si>
    <t xml:space="preserve">Penyakit sistem pernapasan yang mempersulit kehamilan</t>
  </si>
  <si>
    <t xml:space="preserve">O99.6</t>
  </si>
  <si>
    <t xml:space="preserve">Penyakit sistem pencernaan yang mempersulit kehamilan</t>
  </si>
  <si>
    <t xml:space="preserve">O99.7</t>
  </si>
  <si>
    <t xml:space="preserve">Penyakit kulit dan jaringan subkutis yang mempersulit kehamilan</t>
  </si>
  <si>
    <t xml:space="preserve">O99.8</t>
  </si>
  <si>
    <t xml:space="preserve">Penyakit dan kondisi lain yang dijelaskan yang mempersulit kehamilan</t>
  </si>
  <si>
    <t xml:space="preserve">O23.0</t>
  </si>
  <si>
    <t xml:space="preserve">Infeksi ginjal pada kehamilan</t>
  </si>
  <si>
    <t xml:space="preserve">O23.1</t>
  </si>
  <si>
    <t xml:space="preserve">Infeksi kandung kemih pada kehamilan</t>
  </si>
  <si>
    <t xml:space="preserve">O23.2</t>
  </si>
  <si>
    <t xml:space="preserve">Infeksi uretra pada kehamilan</t>
  </si>
  <si>
    <t xml:space="preserve">O23.4</t>
  </si>
  <si>
    <t xml:space="preserve">Infeksi saluran kemih pada kehamilan, tidak dijelaskan</t>
  </si>
  <si>
    <t xml:space="preserve">O23.9</t>
  </si>
  <si>
    <t xml:space="preserve">Infeksi genitourinaria lain atau tidak dijelaskan pada kehamilan</t>
  </si>
  <si>
    <t xml:space="preserve">O24.0</t>
  </si>
  <si>
    <t xml:space="preserve">Diabetes melitus sebelumnya, tergantung insulin</t>
  </si>
  <si>
    <t xml:space="preserve">O24.1</t>
  </si>
  <si>
    <t xml:space="preserve">Diabetes melitus sebelumnya, tidak tergantung insulin</t>
  </si>
  <si>
    <t xml:space="preserve">O24.2</t>
  </si>
  <si>
    <t xml:space="preserve">Diabetes melitus sebelumnya akibat malnutrisi</t>
  </si>
  <si>
    <t xml:space="preserve">O24.9</t>
  </si>
  <si>
    <t xml:space="preserve">Diabetes melitus dalam kehamilan, tidak dijelaskan</t>
  </si>
  <si>
    <t xml:space="preserve">O46.0</t>
  </si>
  <si>
    <t xml:space="preserve">Perdarahan antepartum dengan cacat koagulasi</t>
  </si>
  <si>
    <t xml:space="preserve">O46 Perdarahan antepartum</t>
  </si>
  <si>
    <t xml:space="preserve">O46.8</t>
  </si>
  <si>
    <t xml:space="preserve">Perdarahan antepartum lainnya</t>
  </si>
  <si>
    <t xml:space="preserve">O46.9</t>
  </si>
  <si>
    <t xml:space="preserve">Perdarahan antepartum, tidak dijelaskan</t>
  </si>
  <si>
    <t xml:space="preserve">O47.0</t>
  </si>
  <si>
    <t xml:space="preserve">Persalinan palsu sebelum 37 minggu</t>
  </si>
  <si>
    <t xml:space="preserve">O47 Persalinan palsu</t>
  </si>
  <si>
    <t xml:space="preserve">O47.1</t>
  </si>
  <si>
    <t xml:space="preserve">Persalinan palsu pada atau setelah 37 minggu</t>
  </si>
  <si>
    <t xml:space="preserve">O47.9</t>
  </si>
  <si>
    <t xml:space="preserve">Persalinan palsu, tidak dijelaskan</t>
  </si>
  <si>
    <t xml:space="preserve">O60</t>
  </si>
  <si>
    <t xml:space="preserve">Kelahiran preterm (awal persalinan spontan sebelum 37 minggu)</t>
  </si>
  <si>
    <t xml:space="preserve">O60 Kelahiran preterm</t>
  </si>
  <si>
    <t xml:space="preserve">Ringkasan Kode ICD-10 untuk ANC (gabungan SATUSEHAT dan WHO)</t>
  </si>
  <si>
    <t xml:space="preserve">Berdasarkan sumber</t>
  </si>
  <si>
    <t xml:space="preserve">Jumlah</t>
  </si>
  <si>
    <t xml:space="preserve">SATUSEHAT + WHO (ada di kedua sumber)</t>
  </si>
  <si>
    <t xml:space="preserve">SATUSEHAT saja (tidak ada di teks WHO 2010)</t>
  </si>
  <si>
    <t xml:space="preserve">WHO saja</t>
  </si>
  <si>
    <t xml:space="preserve">Total kode unik</t>
  </si>
  <si>
    <t xml:space="preserve">Berdasarkan kelompok</t>
  </si>
  <si>
    <t xml:space="preserve">Cek silang</t>
  </si>
  <si>
    <t xml:space="preserve">Total lampiran ANC SATUSEHAT (harus 59)</t>
  </si>
  <si>
    <t xml:space="preserve">Total baris pada Daftar Kode</t>
  </si>
  <si>
    <t xml:space="preserve">Catatan:</t>
  </si>
  <si>
    <t xml:space="preserve">1. Bukan angka resmi Kemenkes. Ini gabungan lampiran ANC SATUSEHAT (59 kode) dan kategori ICD-10 WHO 2010 yang dipilih (Z32-Z36, O98, O99, O23, O24, O46, O47, O60).</t>
  </si>
  <si>
    <t xml:space="preserve">2. Kode yang muncul di kedua daftar (O23.3, O23.5, O24.3, O24.4, O99.2) dihitung sekali.</t>
  </si>
  <si>
    <t xml:space="preserve">3. Kode Bab O lain di luar kategori tersebut (misal O10-O16 lengkap, O26, O28, O33-O36 lengkap, O41-O45 lengkap) tidak dihitung, sehingga total bisa lebih besar bila dicakup.</t>
  </si>
  <si>
    <t xml:space="preserve">4. Sumber: satusehat.kemkes.go.id (Lampiran Terminologi ANC); terjemahan ICD-10 Vol.1 Bab XV (ilmu056.blogspot.com). Kolom 'Catatan verifikasi' menandai kode yang berasal dari ingatan dan perlu dicek ke buku ICD-10 resmi.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</si>
</sst>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62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2"/>
      <c r="H2" s="3" t="s">
        <v>13</v>
      </c>
    </row>
    <row r="3" customFormat="false" ht="15" hidden="false" customHeight="false" outlineLevel="0" collapsed="false">
      <c r="A3" s="2" t="n">
        <v>2</v>
      </c>
      <c r="B3" s="2" t="s">
        <v>14</v>
      </c>
      <c r="C3" s="3" t="s">
        <v>15</v>
      </c>
      <c r="D3" s="3" t="s">
        <v>10</v>
      </c>
      <c r="E3" s="3" t="s">
        <v>11</v>
      </c>
      <c r="F3" s="4" t="s">
        <v>12</v>
      </c>
      <c r="G3" s="2"/>
      <c r="H3" s="3" t="s">
        <v>13</v>
      </c>
    </row>
    <row r="4" customFormat="false" ht="15" hidden="false" customHeight="false" outlineLevel="0" collapsed="false">
      <c r="A4" s="2" t="n">
        <v>3</v>
      </c>
      <c r="B4" s="2" t="s">
        <v>16</v>
      </c>
      <c r="C4" s="3" t="s">
        <v>17</v>
      </c>
      <c r="D4" s="3" t="s">
        <v>10</v>
      </c>
      <c r="E4" s="3" t="s">
        <v>18</v>
      </c>
      <c r="F4" s="4" t="s">
        <v>12</v>
      </c>
      <c r="G4" s="2"/>
      <c r="H4" s="3" t="s">
        <v>13</v>
      </c>
    </row>
    <row r="5" customFormat="false" ht="15" hidden="false" customHeight="false" outlineLevel="0" collapsed="false">
      <c r="A5" s="2" t="n">
        <v>4</v>
      </c>
      <c r="B5" s="2" t="s">
        <v>19</v>
      </c>
      <c r="C5" s="3" t="s">
        <v>20</v>
      </c>
      <c r="D5" s="3" t="s">
        <v>10</v>
      </c>
      <c r="E5" s="3" t="s">
        <v>21</v>
      </c>
      <c r="F5" s="4" t="s">
        <v>12</v>
      </c>
      <c r="G5" s="2"/>
      <c r="H5" s="3" t="s">
        <v>22</v>
      </c>
    </row>
    <row r="6" customFormat="false" ht="15" hidden="false" customHeight="false" outlineLevel="0" collapsed="false">
      <c r="A6" s="2" t="n">
        <v>5</v>
      </c>
      <c r="B6" s="2" t="s">
        <v>23</v>
      </c>
      <c r="C6" s="3" t="s">
        <v>24</v>
      </c>
      <c r="D6" s="3" t="s">
        <v>10</v>
      </c>
      <c r="E6" s="3" t="s">
        <v>21</v>
      </c>
      <c r="F6" s="4" t="s">
        <v>12</v>
      </c>
      <c r="G6" s="2"/>
      <c r="H6" s="3" t="s">
        <v>22</v>
      </c>
    </row>
    <row r="7" customFormat="false" ht="15" hidden="false" customHeight="false" outlineLevel="0" collapsed="false">
      <c r="A7" s="2" t="n">
        <v>6</v>
      </c>
      <c r="B7" s="2" t="s">
        <v>25</v>
      </c>
      <c r="C7" s="3" t="s">
        <v>26</v>
      </c>
      <c r="D7" s="3" t="s">
        <v>10</v>
      </c>
      <c r="E7" s="3" t="s">
        <v>21</v>
      </c>
      <c r="F7" s="4" t="s">
        <v>12</v>
      </c>
      <c r="G7" s="2"/>
      <c r="H7" s="3" t="s">
        <v>22</v>
      </c>
    </row>
    <row r="8" customFormat="false" ht="15" hidden="false" customHeight="false" outlineLevel="0" collapsed="false">
      <c r="A8" s="2" t="n">
        <v>7</v>
      </c>
      <c r="B8" s="2" t="s">
        <v>27</v>
      </c>
      <c r="C8" s="3" t="s">
        <v>28</v>
      </c>
      <c r="D8" s="3" t="s">
        <v>10</v>
      </c>
      <c r="E8" s="3" t="s">
        <v>29</v>
      </c>
      <c r="F8" s="4" t="s">
        <v>12</v>
      </c>
      <c r="G8" s="2"/>
      <c r="H8" s="3" t="s">
        <v>22</v>
      </c>
    </row>
    <row r="9" customFormat="false" ht="15" hidden="false" customHeight="false" outlineLevel="0" collapsed="false">
      <c r="A9" s="2" t="n">
        <v>8</v>
      </c>
      <c r="B9" s="2" t="s">
        <v>30</v>
      </c>
      <c r="C9" s="3" t="s">
        <v>31</v>
      </c>
      <c r="D9" s="3" t="s">
        <v>10</v>
      </c>
      <c r="E9" s="3" t="s">
        <v>29</v>
      </c>
      <c r="F9" s="4" t="s">
        <v>12</v>
      </c>
      <c r="G9" s="2"/>
      <c r="H9" s="3" t="s">
        <v>22</v>
      </c>
    </row>
    <row r="10" customFormat="false" ht="15" hidden="false" customHeight="false" outlineLevel="0" collapsed="false">
      <c r="A10" s="2" t="n">
        <v>9</v>
      </c>
      <c r="B10" s="2" t="s">
        <v>32</v>
      </c>
      <c r="C10" s="3" t="s">
        <v>33</v>
      </c>
      <c r="D10" s="3" t="s">
        <v>10</v>
      </c>
      <c r="E10" s="3" t="s">
        <v>29</v>
      </c>
      <c r="F10" s="4" t="s">
        <v>12</v>
      </c>
      <c r="G10" s="2"/>
      <c r="H10" s="3" t="s">
        <v>13</v>
      </c>
    </row>
    <row r="11" customFormat="false" ht="15" hidden="false" customHeight="false" outlineLevel="0" collapsed="false">
      <c r="A11" s="2" t="n">
        <v>10</v>
      </c>
      <c r="B11" s="2" t="s">
        <v>34</v>
      </c>
      <c r="C11" s="3" t="s">
        <v>35</v>
      </c>
      <c r="D11" s="3" t="s">
        <v>10</v>
      </c>
      <c r="E11" s="3" t="s">
        <v>29</v>
      </c>
      <c r="F11" s="4" t="s">
        <v>12</v>
      </c>
      <c r="G11" s="2"/>
      <c r="H11" s="3" t="s">
        <v>22</v>
      </c>
    </row>
    <row r="12" customFormat="false" ht="15" hidden="false" customHeight="false" outlineLevel="0" collapsed="false">
      <c r="A12" s="2" t="n">
        <v>11</v>
      </c>
      <c r="B12" s="2" t="s">
        <v>36</v>
      </c>
      <c r="C12" s="3" t="s">
        <v>37</v>
      </c>
      <c r="D12" s="3" t="s">
        <v>10</v>
      </c>
      <c r="E12" s="3" t="s">
        <v>29</v>
      </c>
      <c r="F12" s="4" t="s">
        <v>12</v>
      </c>
      <c r="G12" s="2"/>
      <c r="H12" s="3" t="s">
        <v>22</v>
      </c>
    </row>
    <row r="13" customFormat="false" ht="15" hidden="false" customHeight="false" outlineLevel="0" collapsed="false">
      <c r="A13" s="2" t="n">
        <v>12</v>
      </c>
      <c r="B13" s="2" t="s">
        <v>38</v>
      </c>
      <c r="C13" s="3" t="s">
        <v>39</v>
      </c>
      <c r="D13" s="3" t="s">
        <v>10</v>
      </c>
      <c r="E13" s="3" t="s">
        <v>29</v>
      </c>
      <c r="F13" s="4" t="s">
        <v>12</v>
      </c>
      <c r="G13" s="2"/>
      <c r="H13" s="3" t="s">
        <v>22</v>
      </c>
    </row>
    <row r="14" customFormat="false" ht="15" hidden="false" customHeight="false" outlineLevel="0" collapsed="false">
      <c r="A14" s="2" t="n">
        <v>13</v>
      </c>
      <c r="B14" s="2" t="s">
        <v>40</v>
      </c>
      <c r="C14" s="3" t="s">
        <v>41</v>
      </c>
      <c r="D14" s="3" t="s">
        <v>10</v>
      </c>
      <c r="E14" s="3" t="s">
        <v>29</v>
      </c>
      <c r="F14" s="4" t="s">
        <v>12</v>
      </c>
      <c r="G14" s="2"/>
      <c r="H14" s="3" t="s">
        <v>13</v>
      </c>
    </row>
    <row r="15" customFormat="false" ht="15" hidden="false" customHeight="false" outlineLevel="0" collapsed="false">
      <c r="A15" s="2" t="n">
        <v>14</v>
      </c>
      <c r="B15" s="2" t="s">
        <v>42</v>
      </c>
      <c r="C15" s="3" t="s">
        <v>43</v>
      </c>
      <c r="D15" s="3" t="s">
        <v>10</v>
      </c>
      <c r="E15" s="3" t="s">
        <v>29</v>
      </c>
      <c r="F15" s="4" t="s">
        <v>12</v>
      </c>
      <c r="G15" s="2"/>
      <c r="H15" s="3" t="s">
        <v>13</v>
      </c>
    </row>
    <row r="16" customFormat="false" ht="15" hidden="false" customHeight="false" outlineLevel="0" collapsed="false">
      <c r="A16" s="2" t="n">
        <v>15</v>
      </c>
      <c r="B16" s="2" t="s">
        <v>44</v>
      </c>
      <c r="C16" s="3" t="s">
        <v>45</v>
      </c>
      <c r="D16" s="3" t="s">
        <v>10</v>
      </c>
      <c r="E16" s="3" t="s">
        <v>29</v>
      </c>
      <c r="F16" s="4" t="s">
        <v>12</v>
      </c>
      <c r="G16" s="2"/>
      <c r="H16" s="3" t="s">
        <v>13</v>
      </c>
    </row>
    <row r="17" customFormat="false" ht="15" hidden="false" customHeight="false" outlineLevel="0" collapsed="false">
      <c r="A17" s="2" t="n">
        <v>16</v>
      </c>
      <c r="B17" s="2" t="s">
        <v>46</v>
      </c>
      <c r="C17" s="3" t="s">
        <v>47</v>
      </c>
      <c r="D17" s="3" t="s">
        <v>10</v>
      </c>
      <c r="E17" s="3" t="s">
        <v>29</v>
      </c>
      <c r="F17" s="4" t="s">
        <v>12</v>
      </c>
      <c r="G17" s="2"/>
      <c r="H17" s="3" t="s">
        <v>13</v>
      </c>
    </row>
    <row r="18" customFormat="false" ht="15" hidden="false" customHeight="false" outlineLevel="0" collapsed="false">
      <c r="A18" s="2" t="n">
        <v>17</v>
      </c>
      <c r="B18" s="2" t="s">
        <v>48</v>
      </c>
      <c r="C18" s="3" t="s">
        <v>49</v>
      </c>
      <c r="D18" s="3" t="s">
        <v>10</v>
      </c>
      <c r="E18" s="3" t="s">
        <v>50</v>
      </c>
      <c r="F18" s="4" t="s">
        <v>12</v>
      </c>
      <c r="G18" s="2"/>
      <c r="H18" s="3" t="s">
        <v>13</v>
      </c>
    </row>
    <row r="19" customFormat="false" ht="15" hidden="false" customHeight="false" outlineLevel="0" collapsed="false">
      <c r="A19" s="2" t="n">
        <v>18</v>
      </c>
      <c r="B19" s="2" t="s">
        <v>51</v>
      </c>
      <c r="C19" s="3" t="s">
        <v>52</v>
      </c>
      <c r="D19" s="3" t="s">
        <v>10</v>
      </c>
      <c r="E19" s="3" t="s">
        <v>50</v>
      </c>
      <c r="F19" s="4" t="s">
        <v>12</v>
      </c>
      <c r="G19" s="2"/>
      <c r="H19" s="3" t="s">
        <v>13</v>
      </c>
    </row>
    <row r="20" customFormat="false" ht="15" hidden="false" customHeight="false" outlineLevel="0" collapsed="false">
      <c r="A20" s="2" t="n">
        <v>19</v>
      </c>
      <c r="B20" s="2" t="s">
        <v>53</v>
      </c>
      <c r="C20" s="3" t="s">
        <v>54</v>
      </c>
      <c r="D20" s="3" t="s">
        <v>10</v>
      </c>
      <c r="E20" s="3" t="s">
        <v>50</v>
      </c>
      <c r="F20" s="4" t="s">
        <v>12</v>
      </c>
      <c r="G20" s="2"/>
      <c r="H20" s="3" t="s">
        <v>13</v>
      </c>
    </row>
    <row r="21" customFormat="false" ht="15" hidden="false" customHeight="false" outlineLevel="0" collapsed="false">
      <c r="A21" s="2" t="n">
        <v>20</v>
      </c>
      <c r="B21" s="2" t="s">
        <v>55</v>
      </c>
      <c r="C21" s="3" t="s">
        <v>56</v>
      </c>
      <c r="D21" s="3" t="s">
        <v>10</v>
      </c>
      <c r="E21" s="3" t="s">
        <v>50</v>
      </c>
      <c r="F21" s="4" t="s">
        <v>12</v>
      </c>
      <c r="G21" s="2"/>
      <c r="H21" s="3" t="s">
        <v>13</v>
      </c>
    </row>
    <row r="22" customFormat="false" ht="15" hidden="false" customHeight="false" outlineLevel="0" collapsed="false">
      <c r="A22" s="2" t="n">
        <v>21</v>
      </c>
      <c r="B22" s="2" t="s">
        <v>57</v>
      </c>
      <c r="C22" s="3" t="s">
        <v>58</v>
      </c>
      <c r="D22" s="3" t="s">
        <v>10</v>
      </c>
      <c r="E22" s="3" t="s">
        <v>50</v>
      </c>
      <c r="F22" s="4" t="s">
        <v>12</v>
      </c>
      <c r="G22" s="2"/>
      <c r="H22" s="3" t="s">
        <v>13</v>
      </c>
    </row>
    <row r="23" customFormat="false" ht="15" hidden="false" customHeight="false" outlineLevel="0" collapsed="false">
      <c r="A23" s="2" t="n">
        <v>22</v>
      </c>
      <c r="B23" s="2" t="s">
        <v>59</v>
      </c>
      <c r="C23" s="3" t="s">
        <v>60</v>
      </c>
      <c r="D23" s="3" t="s">
        <v>10</v>
      </c>
      <c r="E23" s="3" t="s">
        <v>50</v>
      </c>
      <c r="F23" s="4" t="s">
        <v>12</v>
      </c>
      <c r="G23" s="2"/>
      <c r="H23" s="3" t="s">
        <v>13</v>
      </c>
    </row>
    <row r="24" customFormat="false" ht="15" hidden="false" customHeight="false" outlineLevel="0" collapsed="false">
      <c r="A24" s="2" t="n">
        <v>23</v>
      </c>
      <c r="B24" s="2" t="s">
        <v>61</v>
      </c>
      <c r="C24" s="3" t="s">
        <v>62</v>
      </c>
      <c r="D24" s="3" t="s">
        <v>10</v>
      </c>
      <c r="E24" s="3" t="s">
        <v>50</v>
      </c>
      <c r="F24" s="4" t="s">
        <v>12</v>
      </c>
      <c r="G24" s="2"/>
      <c r="H24" s="3" t="s">
        <v>13</v>
      </c>
    </row>
    <row r="25" customFormat="false" ht="15" hidden="false" customHeight="false" outlineLevel="0" collapsed="false">
      <c r="A25" s="2" t="n">
        <v>24</v>
      </c>
      <c r="B25" s="2" t="s">
        <v>63</v>
      </c>
      <c r="C25" s="3" t="s">
        <v>64</v>
      </c>
      <c r="D25" s="3" t="s">
        <v>10</v>
      </c>
      <c r="E25" s="3" t="s">
        <v>50</v>
      </c>
      <c r="F25" s="4" t="s">
        <v>12</v>
      </c>
      <c r="G25" s="2"/>
      <c r="H25" s="3" t="s">
        <v>13</v>
      </c>
    </row>
    <row r="26" customFormat="false" ht="15" hidden="false" customHeight="false" outlineLevel="0" collapsed="false">
      <c r="A26" s="2" t="n">
        <v>25</v>
      </c>
      <c r="B26" s="2" t="s">
        <v>65</v>
      </c>
      <c r="C26" s="3" t="s">
        <v>66</v>
      </c>
      <c r="D26" s="3" t="s">
        <v>67</v>
      </c>
      <c r="E26" s="3" t="s">
        <v>68</v>
      </c>
      <c r="F26" s="5" t="s">
        <v>69</v>
      </c>
      <c r="G26" s="2" t="s">
        <v>70</v>
      </c>
      <c r="H26" s="3" t="s">
        <v>71</v>
      </c>
    </row>
    <row r="27" customFormat="false" ht="15" hidden="false" customHeight="false" outlineLevel="0" collapsed="false">
      <c r="A27" s="2" t="n">
        <v>26</v>
      </c>
      <c r="B27" s="2" t="s">
        <v>72</v>
      </c>
      <c r="C27" s="3" t="s">
        <v>73</v>
      </c>
      <c r="D27" s="3" t="s">
        <v>67</v>
      </c>
      <c r="E27" s="3" t="s">
        <v>74</v>
      </c>
      <c r="F27" s="5" t="s">
        <v>69</v>
      </c>
      <c r="G27" s="2" t="s">
        <v>70</v>
      </c>
      <c r="H27" s="3" t="s">
        <v>71</v>
      </c>
    </row>
    <row r="28" customFormat="false" ht="15" hidden="false" customHeight="false" outlineLevel="0" collapsed="false">
      <c r="A28" s="2" t="n">
        <v>27</v>
      </c>
      <c r="B28" s="2" t="s">
        <v>75</v>
      </c>
      <c r="C28" s="3" t="s">
        <v>76</v>
      </c>
      <c r="D28" s="3" t="s">
        <v>67</v>
      </c>
      <c r="E28" s="3" t="s">
        <v>74</v>
      </c>
      <c r="F28" s="5" t="s">
        <v>69</v>
      </c>
      <c r="G28" s="2" t="s">
        <v>70</v>
      </c>
      <c r="H28" s="3" t="s">
        <v>71</v>
      </c>
    </row>
    <row r="29" customFormat="false" ht="15" hidden="false" customHeight="false" outlineLevel="0" collapsed="false">
      <c r="A29" s="2" t="n">
        <v>28</v>
      </c>
      <c r="B29" s="2" t="s">
        <v>77</v>
      </c>
      <c r="C29" s="3" t="s">
        <v>78</v>
      </c>
      <c r="D29" s="3" t="s">
        <v>67</v>
      </c>
      <c r="E29" s="3" t="s">
        <v>79</v>
      </c>
      <c r="F29" s="5" t="s">
        <v>69</v>
      </c>
      <c r="G29" s="2" t="s">
        <v>70</v>
      </c>
      <c r="H29" s="3" t="s">
        <v>71</v>
      </c>
    </row>
    <row r="30" customFormat="false" ht="15" hidden="false" customHeight="false" outlineLevel="0" collapsed="false">
      <c r="A30" s="2" t="n">
        <v>29</v>
      </c>
      <c r="B30" s="2" t="s">
        <v>80</v>
      </c>
      <c r="C30" s="3" t="s">
        <v>81</v>
      </c>
      <c r="D30" s="3" t="s">
        <v>67</v>
      </c>
      <c r="E30" s="3" t="s">
        <v>79</v>
      </c>
      <c r="F30" s="5" t="s">
        <v>69</v>
      </c>
      <c r="G30" s="2" t="s">
        <v>70</v>
      </c>
      <c r="H30" s="3" t="s">
        <v>71</v>
      </c>
    </row>
    <row r="31" customFormat="false" ht="15" hidden="false" customHeight="false" outlineLevel="0" collapsed="false">
      <c r="A31" s="2" t="n">
        <v>30</v>
      </c>
      <c r="B31" s="2" t="s">
        <v>82</v>
      </c>
      <c r="C31" s="3" t="s">
        <v>83</v>
      </c>
      <c r="D31" s="3" t="s">
        <v>67</v>
      </c>
      <c r="E31" s="3" t="s">
        <v>84</v>
      </c>
      <c r="F31" s="5" t="s">
        <v>69</v>
      </c>
      <c r="G31" s="2" t="s">
        <v>70</v>
      </c>
      <c r="H31" s="3" t="s">
        <v>71</v>
      </c>
    </row>
    <row r="32" customFormat="false" ht="15" hidden="false" customHeight="false" outlineLevel="0" collapsed="false">
      <c r="A32" s="2" t="n">
        <v>31</v>
      </c>
      <c r="B32" s="2" t="s">
        <v>85</v>
      </c>
      <c r="C32" s="3" t="s">
        <v>86</v>
      </c>
      <c r="D32" s="3" t="s">
        <v>67</v>
      </c>
      <c r="E32" s="3" t="s">
        <v>84</v>
      </c>
      <c r="F32" s="5" t="s">
        <v>69</v>
      </c>
      <c r="G32" s="2" t="s">
        <v>70</v>
      </c>
      <c r="H32" s="3" t="s">
        <v>71</v>
      </c>
    </row>
    <row r="33" customFormat="false" ht="15" hidden="false" customHeight="false" outlineLevel="0" collapsed="false">
      <c r="A33" s="2" t="n">
        <v>32</v>
      </c>
      <c r="B33" s="2" t="s">
        <v>87</v>
      </c>
      <c r="C33" s="3" t="s">
        <v>88</v>
      </c>
      <c r="D33" s="3" t="s">
        <v>67</v>
      </c>
      <c r="E33" s="3" t="s">
        <v>89</v>
      </c>
      <c r="F33" s="5" t="s">
        <v>69</v>
      </c>
      <c r="G33" s="2" t="s">
        <v>70</v>
      </c>
      <c r="H33" s="3" t="s">
        <v>71</v>
      </c>
    </row>
    <row r="34" customFormat="false" ht="15" hidden="false" customHeight="false" outlineLevel="0" collapsed="false">
      <c r="A34" s="2" t="n">
        <v>33</v>
      </c>
      <c r="B34" s="2" t="s">
        <v>90</v>
      </c>
      <c r="C34" s="3" t="s">
        <v>91</v>
      </c>
      <c r="D34" s="3" t="s">
        <v>67</v>
      </c>
      <c r="E34" s="3" t="s">
        <v>89</v>
      </c>
      <c r="F34" s="5" t="s">
        <v>69</v>
      </c>
      <c r="G34" s="2" t="s">
        <v>70</v>
      </c>
      <c r="H34" s="3" t="s">
        <v>71</v>
      </c>
    </row>
    <row r="35" customFormat="false" ht="15" hidden="false" customHeight="false" outlineLevel="0" collapsed="false">
      <c r="A35" s="2" t="n">
        <v>34</v>
      </c>
      <c r="B35" s="2" t="s">
        <v>92</v>
      </c>
      <c r="C35" s="3" t="s">
        <v>93</v>
      </c>
      <c r="D35" s="3" t="s">
        <v>67</v>
      </c>
      <c r="E35" s="3" t="s">
        <v>94</v>
      </c>
      <c r="F35" s="5" t="s">
        <v>69</v>
      </c>
      <c r="G35" s="2" t="s">
        <v>70</v>
      </c>
      <c r="H35" s="3" t="s">
        <v>71</v>
      </c>
    </row>
    <row r="36" customFormat="false" ht="15" hidden="false" customHeight="false" outlineLevel="0" collapsed="false">
      <c r="A36" s="2" t="n">
        <v>35</v>
      </c>
      <c r="B36" s="2" t="s">
        <v>95</v>
      </c>
      <c r="C36" s="3" t="s">
        <v>96</v>
      </c>
      <c r="D36" s="3" t="s">
        <v>67</v>
      </c>
      <c r="E36" s="3" t="s">
        <v>94</v>
      </c>
      <c r="F36" s="5" t="s">
        <v>69</v>
      </c>
      <c r="G36" s="2" t="s">
        <v>70</v>
      </c>
      <c r="H36" s="3" t="s">
        <v>71</v>
      </c>
    </row>
    <row r="37" customFormat="false" ht="15" hidden="false" customHeight="false" outlineLevel="0" collapsed="false">
      <c r="A37" s="2" t="n">
        <v>36</v>
      </c>
      <c r="B37" s="2" t="s">
        <v>97</v>
      </c>
      <c r="C37" s="3" t="s">
        <v>98</v>
      </c>
      <c r="D37" s="3" t="s">
        <v>67</v>
      </c>
      <c r="E37" s="3" t="s">
        <v>99</v>
      </c>
      <c r="F37" s="5" t="s">
        <v>69</v>
      </c>
      <c r="G37" s="2" t="s">
        <v>70</v>
      </c>
      <c r="H37" s="3" t="s">
        <v>71</v>
      </c>
    </row>
    <row r="38" customFormat="false" ht="15" hidden="false" customHeight="false" outlineLevel="0" collapsed="false">
      <c r="A38" s="2" t="n">
        <v>37</v>
      </c>
      <c r="B38" s="2" t="s">
        <v>100</v>
      </c>
      <c r="C38" s="3" t="s">
        <v>101</v>
      </c>
      <c r="D38" s="3" t="s">
        <v>67</v>
      </c>
      <c r="E38" s="3" t="s">
        <v>99</v>
      </c>
      <c r="F38" s="5" t="s">
        <v>69</v>
      </c>
      <c r="G38" s="2" t="s">
        <v>70</v>
      </c>
      <c r="H38" s="3" t="s">
        <v>71</v>
      </c>
    </row>
    <row r="39" customFormat="false" ht="15" hidden="false" customHeight="false" outlineLevel="0" collapsed="false">
      <c r="A39" s="2" t="n">
        <v>38</v>
      </c>
      <c r="B39" s="2" t="s">
        <v>102</v>
      </c>
      <c r="C39" s="3" t="s">
        <v>103</v>
      </c>
      <c r="D39" s="3" t="s">
        <v>67</v>
      </c>
      <c r="E39" s="3" t="s">
        <v>99</v>
      </c>
      <c r="F39" s="5" t="s">
        <v>69</v>
      </c>
      <c r="G39" s="2" t="s">
        <v>70</v>
      </c>
      <c r="H39" s="3" t="s">
        <v>71</v>
      </c>
    </row>
    <row r="40" customFormat="false" ht="15" hidden="false" customHeight="false" outlineLevel="0" collapsed="false">
      <c r="A40" s="2" t="n">
        <v>39</v>
      </c>
      <c r="B40" s="2" t="s">
        <v>104</v>
      </c>
      <c r="C40" s="3" t="s">
        <v>105</v>
      </c>
      <c r="D40" s="3" t="s">
        <v>67</v>
      </c>
      <c r="E40" s="3" t="s">
        <v>99</v>
      </c>
      <c r="F40" s="5" t="s">
        <v>69</v>
      </c>
      <c r="G40" s="2" t="s">
        <v>70</v>
      </c>
      <c r="H40" s="3" t="s">
        <v>71</v>
      </c>
    </row>
    <row r="41" customFormat="false" ht="15" hidden="false" customHeight="false" outlineLevel="0" collapsed="false">
      <c r="A41" s="2" t="n">
        <v>40</v>
      </c>
      <c r="B41" s="2" t="s">
        <v>106</v>
      </c>
      <c r="C41" s="3" t="s">
        <v>107</v>
      </c>
      <c r="D41" s="3" t="s">
        <v>67</v>
      </c>
      <c r="E41" s="3" t="s">
        <v>99</v>
      </c>
      <c r="F41" s="5" t="s">
        <v>69</v>
      </c>
      <c r="G41" s="2" t="s">
        <v>70</v>
      </c>
      <c r="H41" s="3" t="s">
        <v>71</v>
      </c>
    </row>
    <row r="42" customFormat="false" ht="15" hidden="false" customHeight="false" outlineLevel="0" collapsed="false">
      <c r="A42" s="2" t="n">
        <v>41</v>
      </c>
      <c r="B42" s="2" t="s">
        <v>108</v>
      </c>
      <c r="C42" s="3" t="s">
        <v>109</v>
      </c>
      <c r="D42" s="3" t="s">
        <v>67</v>
      </c>
      <c r="E42" s="3" t="s">
        <v>110</v>
      </c>
      <c r="F42" s="5" t="s">
        <v>69</v>
      </c>
      <c r="G42" s="2" t="s">
        <v>111</v>
      </c>
      <c r="H42" s="3" t="s">
        <v>71</v>
      </c>
    </row>
    <row r="43" customFormat="false" ht="23.85" hidden="false" customHeight="false" outlineLevel="0" collapsed="false">
      <c r="A43" s="2" t="n">
        <v>42</v>
      </c>
      <c r="B43" s="2" t="s">
        <v>112</v>
      </c>
      <c r="C43" s="3" t="s">
        <v>113</v>
      </c>
      <c r="D43" s="3" t="s">
        <v>67</v>
      </c>
      <c r="E43" s="3" t="s">
        <v>112</v>
      </c>
      <c r="F43" s="5" t="s">
        <v>69</v>
      </c>
      <c r="G43" s="2" t="s">
        <v>111</v>
      </c>
      <c r="H43" s="3" t="s">
        <v>71</v>
      </c>
    </row>
    <row r="44" customFormat="false" ht="15" hidden="false" customHeight="false" outlineLevel="0" collapsed="false">
      <c r="A44" s="2" t="n">
        <v>43</v>
      </c>
      <c r="B44" s="2" t="s">
        <v>114</v>
      </c>
      <c r="C44" s="3" t="s">
        <v>115</v>
      </c>
      <c r="D44" s="3" t="s">
        <v>67</v>
      </c>
      <c r="E44" s="3" t="s">
        <v>114</v>
      </c>
      <c r="F44" s="5" t="s">
        <v>69</v>
      </c>
      <c r="G44" s="2" t="s">
        <v>111</v>
      </c>
      <c r="H44" s="3" t="s">
        <v>71</v>
      </c>
    </row>
    <row r="45" customFormat="false" ht="15" hidden="false" customHeight="false" outlineLevel="0" collapsed="false">
      <c r="A45" s="2" t="n">
        <v>44</v>
      </c>
      <c r="B45" s="2" t="s">
        <v>116</v>
      </c>
      <c r="C45" s="3" t="s">
        <v>117</v>
      </c>
      <c r="D45" s="3" t="s">
        <v>67</v>
      </c>
      <c r="E45" s="3" t="s">
        <v>118</v>
      </c>
      <c r="F45" s="5" t="s">
        <v>69</v>
      </c>
      <c r="G45" s="2" t="s">
        <v>111</v>
      </c>
      <c r="H45" s="3" t="s">
        <v>71</v>
      </c>
    </row>
    <row r="46" customFormat="false" ht="15" hidden="false" customHeight="false" outlineLevel="0" collapsed="false">
      <c r="A46" s="2" t="n">
        <v>45</v>
      </c>
      <c r="B46" s="2" t="s">
        <v>119</v>
      </c>
      <c r="C46" s="3" t="s">
        <v>120</v>
      </c>
      <c r="D46" s="3" t="s">
        <v>67</v>
      </c>
      <c r="E46" s="3" t="s">
        <v>118</v>
      </c>
      <c r="F46" s="5" t="s">
        <v>69</v>
      </c>
      <c r="G46" s="2" t="s">
        <v>111</v>
      </c>
      <c r="H46" s="3" t="s">
        <v>71</v>
      </c>
    </row>
    <row r="47" customFormat="false" ht="35.05" hidden="false" customHeight="false" outlineLevel="0" collapsed="false">
      <c r="A47" s="2" t="n">
        <v>46</v>
      </c>
      <c r="B47" s="2" t="s">
        <v>121</v>
      </c>
      <c r="C47" s="3" t="s">
        <v>122</v>
      </c>
      <c r="D47" s="3" t="s">
        <v>67</v>
      </c>
      <c r="E47" s="3" t="s">
        <v>118</v>
      </c>
      <c r="F47" s="6" t="s">
        <v>123</v>
      </c>
      <c r="G47" s="2" t="s">
        <v>111</v>
      </c>
      <c r="H47" s="3" t="s">
        <v>124</v>
      </c>
    </row>
    <row r="48" customFormat="false" ht="15" hidden="false" customHeight="false" outlineLevel="0" collapsed="false">
      <c r="A48" s="2" t="n">
        <v>47</v>
      </c>
      <c r="B48" s="2" t="s">
        <v>125</v>
      </c>
      <c r="C48" s="3" t="s">
        <v>126</v>
      </c>
      <c r="D48" s="3" t="s">
        <v>67</v>
      </c>
      <c r="E48" s="3" t="s">
        <v>127</v>
      </c>
      <c r="F48" s="5" t="s">
        <v>69</v>
      </c>
      <c r="G48" s="2" t="s">
        <v>111</v>
      </c>
      <c r="H48" s="3" t="s">
        <v>71</v>
      </c>
    </row>
    <row r="49" customFormat="false" ht="15" hidden="false" customHeight="false" outlineLevel="0" collapsed="false">
      <c r="A49" s="2" t="n">
        <v>48</v>
      </c>
      <c r="B49" s="2" t="s">
        <v>128</v>
      </c>
      <c r="C49" s="3" t="s">
        <v>129</v>
      </c>
      <c r="D49" s="3" t="s">
        <v>67</v>
      </c>
      <c r="E49" s="3" t="s">
        <v>130</v>
      </c>
      <c r="F49" s="5" t="s">
        <v>69</v>
      </c>
      <c r="G49" s="2" t="s">
        <v>111</v>
      </c>
      <c r="H49" s="3" t="s">
        <v>71</v>
      </c>
    </row>
    <row r="50" customFormat="false" ht="23.85" hidden="false" customHeight="false" outlineLevel="0" collapsed="false">
      <c r="A50" s="2" t="n">
        <v>49</v>
      </c>
      <c r="B50" s="2" t="s">
        <v>131</v>
      </c>
      <c r="C50" s="3" t="s">
        <v>132</v>
      </c>
      <c r="D50" s="3" t="s">
        <v>67</v>
      </c>
      <c r="E50" s="3" t="s">
        <v>133</v>
      </c>
      <c r="F50" s="5" t="s">
        <v>69</v>
      </c>
      <c r="G50" s="2" t="s">
        <v>111</v>
      </c>
      <c r="H50" s="3" t="s">
        <v>134</v>
      </c>
    </row>
    <row r="51" customFormat="false" ht="23.85" hidden="false" customHeight="false" outlineLevel="0" collapsed="false">
      <c r="A51" s="2" t="n">
        <v>50</v>
      </c>
      <c r="B51" s="2" t="s">
        <v>135</v>
      </c>
      <c r="C51" s="3" t="s">
        <v>136</v>
      </c>
      <c r="D51" s="3" t="s">
        <v>67</v>
      </c>
      <c r="E51" s="3" t="s">
        <v>133</v>
      </c>
      <c r="F51" s="5" t="s">
        <v>69</v>
      </c>
      <c r="G51" s="2" t="s">
        <v>111</v>
      </c>
      <c r="H51" s="3" t="s">
        <v>134</v>
      </c>
    </row>
    <row r="52" customFormat="false" ht="23.85" hidden="false" customHeight="false" outlineLevel="0" collapsed="false">
      <c r="A52" s="2" t="n">
        <v>51</v>
      </c>
      <c r="B52" s="2" t="s">
        <v>137</v>
      </c>
      <c r="C52" s="3" t="s">
        <v>138</v>
      </c>
      <c r="D52" s="3" t="s">
        <v>67</v>
      </c>
      <c r="E52" s="3" t="s">
        <v>139</v>
      </c>
      <c r="F52" s="5" t="s">
        <v>69</v>
      </c>
      <c r="G52" s="2" t="s">
        <v>111</v>
      </c>
      <c r="H52" s="3" t="s">
        <v>134</v>
      </c>
    </row>
    <row r="53" customFormat="false" ht="23.85" hidden="false" customHeight="false" outlineLevel="0" collapsed="false">
      <c r="A53" s="2" t="n">
        <v>52</v>
      </c>
      <c r="B53" s="2" t="s">
        <v>140</v>
      </c>
      <c r="C53" s="3" t="s">
        <v>141</v>
      </c>
      <c r="D53" s="3" t="s">
        <v>67</v>
      </c>
      <c r="E53" s="3" t="s">
        <v>139</v>
      </c>
      <c r="F53" s="5" t="s">
        <v>69</v>
      </c>
      <c r="G53" s="2" t="s">
        <v>111</v>
      </c>
      <c r="H53" s="3" t="s">
        <v>134</v>
      </c>
    </row>
    <row r="54" customFormat="false" ht="23.85" hidden="false" customHeight="false" outlineLevel="0" collapsed="false">
      <c r="A54" s="2" t="n">
        <v>53</v>
      </c>
      <c r="B54" s="2" t="s">
        <v>142</v>
      </c>
      <c r="C54" s="3" t="s">
        <v>143</v>
      </c>
      <c r="D54" s="3" t="s">
        <v>67</v>
      </c>
      <c r="E54" s="3" t="s">
        <v>144</v>
      </c>
      <c r="F54" s="5" t="s">
        <v>69</v>
      </c>
      <c r="G54" s="2" t="s">
        <v>111</v>
      </c>
      <c r="H54" s="3" t="s">
        <v>134</v>
      </c>
    </row>
    <row r="55" customFormat="false" ht="15" hidden="false" customHeight="false" outlineLevel="0" collapsed="false">
      <c r="A55" s="2" t="n">
        <v>54</v>
      </c>
      <c r="B55" s="2" t="s">
        <v>145</v>
      </c>
      <c r="C55" s="3" t="s">
        <v>146</v>
      </c>
      <c r="D55" s="3" t="s">
        <v>67</v>
      </c>
      <c r="E55" s="3" t="s">
        <v>145</v>
      </c>
      <c r="F55" s="5" t="s">
        <v>69</v>
      </c>
      <c r="G55" s="2" t="s">
        <v>111</v>
      </c>
      <c r="H55" s="3" t="s">
        <v>71</v>
      </c>
    </row>
    <row r="56" customFormat="false" ht="15" hidden="false" customHeight="false" outlineLevel="0" collapsed="false">
      <c r="A56" s="2" t="n">
        <v>55</v>
      </c>
      <c r="B56" s="2" t="s">
        <v>147</v>
      </c>
      <c r="C56" s="3" t="s">
        <v>148</v>
      </c>
      <c r="D56" s="3" t="s">
        <v>67</v>
      </c>
      <c r="E56" s="3" t="s">
        <v>149</v>
      </c>
      <c r="F56" s="5" t="s">
        <v>69</v>
      </c>
      <c r="G56" s="2" t="s">
        <v>111</v>
      </c>
      <c r="H56" s="3" t="s">
        <v>71</v>
      </c>
    </row>
    <row r="57" customFormat="false" ht="15" hidden="false" customHeight="false" outlineLevel="0" collapsed="false">
      <c r="A57" s="2" t="n">
        <v>56</v>
      </c>
      <c r="B57" s="2" t="s">
        <v>150</v>
      </c>
      <c r="C57" s="3" t="s">
        <v>151</v>
      </c>
      <c r="D57" s="3" t="s">
        <v>67</v>
      </c>
      <c r="E57" s="3" t="s">
        <v>149</v>
      </c>
      <c r="F57" s="5" t="s">
        <v>69</v>
      </c>
      <c r="G57" s="2" t="s">
        <v>111</v>
      </c>
      <c r="H57" s="3" t="s">
        <v>71</v>
      </c>
    </row>
    <row r="58" customFormat="false" ht="15" hidden="false" customHeight="false" outlineLevel="0" collapsed="false">
      <c r="A58" s="2" t="n">
        <v>57</v>
      </c>
      <c r="B58" s="2" t="s">
        <v>152</v>
      </c>
      <c r="C58" s="3" t="s">
        <v>153</v>
      </c>
      <c r="D58" s="3" t="s">
        <v>67</v>
      </c>
      <c r="E58" s="3" t="s">
        <v>154</v>
      </c>
      <c r="F58" s="5" t="s">
        <v>69</v>
      </c>
      <c r="G58" s="2" t="s">
        <v>111</v>
      </c>
      <c r="H58" s="3" t="s">
        <v>71</v>
      </c>
    </row>
    <row r="59" customFormat="false" ht="15" hidden="false" customHeight="false" outlineLevel="0" collapsed="false">
      <c r="A59" s="2" t="n">
        <v>58</v>
      </c>
      <c r="B59" s="2" t="s">
        <v>155</v>
      </c>
      <c r="C59" s="3" t="s">
        <v>156</v>
      </c>
      <c r="D59" s="3" t="s">
        <v>67</v>
      </c>
      <c r="E59" s="3" t="s">
        <v>154</v>
      </c>
      <c r="F59" s="5" t="s">
        <v>69</v>
      </c>
      <c r="G59" s="2" t="s">
        <v>111</v>
      </c>
      <c r="H59" s="3" t="s">
        <v>71</v>
      </c>
    </row>
    <row r="60" customFormat="false" ht="15" hidden="false" customHeight="false" outlineLevel="0" collapsed="false">
      <c r="A60" s="2" t="n">
        <v>59</v>
      </c>
      <c r="B60" s="2" t="s">
        <v>157</v>
      </c>
      <c r="C60" s="3" t="s">
        <v>158</v>
      </c>
      <c r="D60" s="3" t="s">
        <v>67</v>
      </c>
      <c r="E60" s="3" t="s">
        <v>159</v>
      </c>
      <c r="F60" s="5" t="s">
        <v>69</v>
      </c>
      <c r="G60" s="2" t="s">
        <v>111</v>
      </c>
      <c r="H60" s="3" t="s">
        <v>71</v>
      </c>
    </row>
    <row r="61" customFormat="false" ht="15" hidden="false" customHeight="false" outlineLevel="0" collapsed="false">
      <c r="A61" s="2" t="n">
        <v>60</v>
      </c>
      <c r="B61" s="2" t="s">
        <v>160</v>
      </c>
      <c r="C61" s="3" t="s">
        <v>161</v>
      </c>
      <c r="D61" s="3" t="s">
        <v>67</v>
      </c>
      <c r="E61" s="3" t="s">
        <v>162</v>
      </c>
      <c r="F61" s="5" t="s">
        <v>69</v>
      </c>
      <c r="G61" s="2" t="s">
        <v>111</v>
      </c>
      <c r="H61" s="3" t="s">
        <v>71</v>
      </c>
    </row>
    <row r="62" customFormat="false" ht="15" hidden="false" customHeight="false" outlineLevel="0" collapsed="false">
      <c r="A62" s="2" t="n">
        <v>61</v>
      </c>
      <c r="B62" s="2" t="s">
        <v>163</v>
      </c>
      <c r="C62" s="3" t="s">
        <v>164</v>
      </c>
      <c r="D62" s="3" t="s">
        <v>67</v>
      </c>
      <c r="E62" s="3" t="s">
        <v>162</v>
      </c>
      <c r="F62" s="5" t="s">
        <v>69</v>
      </c>
      <c r="G62" s="2" t="s">
        <v>111</v>
      </c>
      <c r="H62" s="3" t="s">
        <v>71</v>
      </c>
    </row>
    <row r="63" customFormat="false" ht="15" hidden="false" customHeight="false" outlineLevel="0" collapsed="false">
      <c r="A63" s="2" t="n">
        <v>62</v>
      </c>
      <c r="B63" s="2" t="s">
        <v>165</v>
      </c>
      <c r="C63" s="3" t="s">
        <v>166</v>
      </c>
      <c r="D63" s="3" t="s">
        <v>67</v>
      </c>
      <c r="E63" s="3" t="s">
        <v>167</v>
      </c>
      <c r="F63" s="5" t="s">
        <v>69</v>
      </c>
      <c r="G63" s="2" t="s">
        <v>111</v>
      </c>
      <c r="H63" s="3" t="s">
        <v>71</v>
      </c>
    </row>
    <row r="64" customFormat="false" ht="15" hidden="false" customHeight="false" outlineLevel="0" collapsed="false">
      <c r="A64" s="2" t="n">
        <v>63</v>
      </c>
      <c r="B64" s="2" t="s">
        <v>168</v>
      </c>
      <c r="C64" s="3" t="s">
        <v>169</v>
      </c>
      <c r="D64" s="3" t="s">
        <v>67</v>
      </c>
      <c r="E64" s="3" t="s">
        <v>167</v>
      </c>
      <c r="F64" s="5" t="s">
        <v>69</v>
      </c>
      <c r="G64" s="2" t="s">
        <v>111</v>
      </c>
      <c r="H64" s="3" t="s">
        <v>71</v>
      </c>
    </row>
    <row r="65" customFormat="false" ht="15" hidden="false" customHeight="false" outlineLevel="0" collapsed="false">
      <c r="A65" s="2" t="n">
        <v>64</v>
      </c>
      <c r="B65" s="2" t="s">
        <v>170</v>
      </c>
      <c r="C65" s="3" t="s">
        <v>171</v>
      </c>
      <c r="D65" s="3" t="s">
        <v>67</v>
      </c>
      <c r="E65" s="3" t="s">
        <v>167</v>
      </c>
      <c r="F65" s="5" t="s">
        <v>69</v>
      </c>
      <c r="G65" s="2" t="s">
        <v>111</v>
      </c>
      <c r="H65" s="3" t="s">
        <v>71</v>
      </c>
    </row>
    <row r="66" customFormat="false" ht="15" hidden="false" customHeight="false" outlineLevel="0" collapsed="false">
      <c r="A66" s="2" t="n">
        <v>65</v>
      </c>
      <c r="B66" s="2" t="s">
        <v>172</v>
      </c>
      <c r="C66" s="3" t="s">
        <v>173</v>
      </c>
      <c r="D66" s="3" t="s">
        <v>67</v>
      </c>
      <c r="E66" s="3" t="s">
        <v>167</v>
      </c>
      <c r="F66" s="5" t="s">
        <v>69</v>
      </c>
      <c r="G66" s="2" t="s">
        <v>111</v>
      </c>
      <c r="H66" s="3" t="s">
        <v>71</v>
      </c>
    </row>
    <row r="67" customFormat="false" ht="15" hidden="false" customHeight="false" outlineLevel="0" collapsed="false">
      <c r="A67" s="2" t="n">
        <v>66</v>
      </c>
      <c r="B67" s="2" t="s">
        <v>174</v>
      </c>
      <c r="C67" s="3" t="s">
        <v>175</v>
      </c>
      <c r="D67" s="3" t="s">
        <v>67</v>
      </c>
      <c r="E67" s="3" t="s">
        <v>167</v>
      </c>
      <c r="F67" s="5" t="s">
        <v>69</v>
      </c>
      <c r="G67" s="2" t="s">
        <v>111</v>
      </c>
      <c r="H67" s="3" t="s">
        <v>71</v>
      </c>
    </row>
    <row r="68" customFormat="false" ht="15" hidden="false" customHeight="false" outlineLevel="0" collapsed="false">
      <c r="A68" s="2" t="n">
        <v>67</v>
      </c>
      <c r="B68" s="2" t="s">
        <v>176</v>
      </c>
      <c r="C68" s="3" t="s">
        <v>177</v>
      </c>
      <c r="D68" s="3" t="s">
        <v>67</v>
      </c>
      <c r="E68" s="3" t="s">
        <v>178</v>
      </c>
      <c r="F68" s="5" t="s">
        <v>69</v>
      </c>
      <c r="G68" s="2" t="s">
        <v>111</v>
      </c>
      <c r="H68" s="3" t="s">
        <v>71</v>
      </c>
    </row>
    <row r="69" customFormat="false" ht="15" hidden="false" customHeight="false" outlineLevel="0" collapsed="false">
      <c r="A69" s="2" t="n">
        <v>68</v>
      </c>
      <c r="B69" s="2" t="s">
        <v>179</v>
      </c>
      <c r="C69" s="3" t="s">
        <v>180</v>
      </c>
      <c r="D69" s="3" t="s">
        <v>67</v>
      </c>
      <c r="E69" s="3" t="s">
        <v>181</v>
      </c>
      <c r="F69" s="5" t="s">
        <v>69</v>
      </c>
      <c r="G69" s="2" t="s">
        <v>111</v>
      </c>
      <c r="H69" s="3" t="s">
        <v>71</v>
      </c>
    </row>
    <row r="70" customFormat="false" ht="15" hidden="false" customHeight="false" outlineLevel="0" collapsed="false">
      <c r="A70" s="2" t="n">
        <v>69</v>
      </c>
      <c r="B70" s="2" t="s">
        <v>182</v>
      </c>
      <c r="C70" s="3" t="s">
        <v>183</v>
      </c>
      <c r="D70" s="3" t="s">
        <v>67</v>
      </c>
      <c r="E70" s="3" t="s">
        <v>181</v>
      </c>
      <c r="F70" s="5" t="s">
        <v>69</v>
      </c>
      <c r="G70" s="2" t="s">
        <v>111</v>
      </c>
      <c r="H70" s="3" t="s">
        <v>71</v>
      </c>
    </row>
    <row r="71" customFormat="false" ht="15" hidden="false" customHeight="false" outlineLevel="0" collapsed="false">
      <c r="A71" s="2" t="n">
        <v>70</v>
      </c>
      <c r="B71" s="2" t="s">
        <v>184</v>
      </c>
      <c r="C71" s="3" t="s">
        <v>185</v>
      </c>
      <c r="D71" s="3" t="s">
        <v>67</v>
      </c>
      <c r="E71" s="3" t="s">
        <v>181</v>
      </c>
      <c r="F71" s="5" t="s">
        <v>69</v>
      </c>
      <c r="G71" s="2" t="s">
        <v>111</v>
      </c>
      <c r="H71" s="3" t="s">
        <v>71</v>
      </c>
    </row>
    <row r="72" customFormat="false" ht="15" hidden="false" customHeight="false" outlineLevel="0" collapsed="false">
      <c r="A72" s="2" t="n">
        <v>71</v>
      </c>
      <c r="B72" s="2" t="s">
        <v>186</v>
      </c>
      <c r="C72" s="3" t="s">
        <v>187</v>
      </c>
      <c r="D72" s="3" t="s">
        <v>67</v>
      </c>
      <c r="E72" s="3" t="s">
        <v>181</v>
      </c>
      <c r="F72" s="5" t="s">
        <v>69</v>
      </c>
      <c r="G72" s="2" t="s">
        <v>111</v>
      </c>
      <c r="H72" s="3" t="s">
        <v>71</v>
      </c>
    </row>
    <row r="73" customFormat="false" ht="15" hidden="false" customHeight="false" outlineLevel="0" collapsed="false">
      <c r="A73" s="2" t="n">
        <v>72</v>
      </c>
      <c r="B73" s="2" t="s">
        <v>188</v>
      </c>
      <c r="C73" s="3" t="s">
        <v>189</v>
      </c>
      <c r="D73" s="3" t="s">
        <v>67</v>
      </c>
      <c r="E73" s="3" t="s">
        <v>181</v>
      </c>
      <c r="F73" s="5" t="s">
        <v>69</v>
      </c>
      <c r="G73" s="2" t="s">
        <v>111</v>
      </c>
      <c r="H73" s="3" t="s">
        <v>71</v>
      </c>
    </row>
    <row r="74" customFormat="false" ht="15" hidden="false" customHeight="false" outlineLevel="0" collapsed="false">
      <c r="A74" s="2" t="n">
        <v>73</v>
      </c>
      <c r="B74" s="2" t="s">
        <v>190</v>
      </c>
      <c r="C74" s="3" t="s">
        <v>191</v>
      </c>
      <c r="D74" s="3" t="s">
        <v>67</v>
      </c>
      <c r="E74" s="3" t="s">
        <v>190</v>
      </c>
      <c r="F74" s="5" t="s">
        <v>69</v>
      </c>
      <c r="G74" s="2" t="s">
        <v>111</v>
      </c>
      <c r="H74" s="3" t="s">
        <v>71</v>
      </c>
    </row>
    <row r="75" customFormat="false" ht="15" hidden="false" customHeight="false" outlineLevel="0" collapsed="false">
      <c r="A75" s="2" t="n">
        <v>74</v>
      </c>
      <c r="B75" s="2" t="s">
        <v>192</v>
      </c>
      <c r="C75" s="3" t="s">
        <v>193</v>
      </c>
      <c r="D75" s="3" t="s">
        <v>67</v>
      </c>
      <c r="E75" s="3" t="s">
        <v>194</v>
      </c>
      <c r="F75" s="5" t="s">
        <v>69</v>
      </c>
      <c r="G75" s="2" t="s">
        <v>111</v>
      </c>
      <c r="H75" s="3" t="s">
        <v>71</v>
      </c>
    </row>
    <row r="76" customFormat="false" ht="15" hidden="false" customHeight="false" outlineLevel="0" collapsed="false">
      <c r="A76" s="2" t="n">
        <v>75</v>
      </c>
      <c r="B76" s="2" t="s">
        <v>195</v>
      </c>
      <c r="C76" s="3" t="s">
        <v>196</v>
      </c>
      <c r="D76" s="3" t="s">
        <v>67</v>
      </c>
      <c r="E76" s="3" t="s">
        <v>194</v>
      </c>
      <c r="F76" s="5" t="s">
        <v>69</v>
      </c>
      <c r="G76" s="2" t="s">
        <v>111</v>
      </c>
      <c r="H76" s="3" t="s">
        <v>71</v>
      </c>
    </row>
    <row r="77" customFormat="false" ht="15" hidden="false" customHeight="false" outlineLevel="0" collapsed="false">
      <c r="A77" s="2" t="n">
        <v>76</v>
      </c>
      <c r="B77" s="2" t="s">
        <v>197</v>
      </c>
      <c r="C77" s="3" t="s">
        <v>198</v>
      </c>
      <c r="D77" s="3" t="s">
        <v>67</v>
      </c>
      <c r="E77" s="3" t="s">
        <v>199</v>
      </c>
      <c r="F77" s="5" t="s">
        <v>69</v>
      </c>
      <c r="G77" s="2" t="s">
        <v>111</v>
      </c>
      <c r="H77" s="3" t="s">
        <v>71</v>
      </c>
    </row>
    <row r="78" customFormat="false" ht="15" hidden="false" customHeight="false" outlineLevel="0" collapsed="false">
      <c r="A78" s="2" t="n">
        <v>77</v>
      </c>
      <c r="B78" s="2" t="s">
        <v>200</v>
      </c>
      <c r="C78" s="3" t="s">
        <v>201</v>
      </c>
      <c r="D78" s="3" t="s">
        <v>67</v>
      </c>
      <c r="E78" s="3" t="s">
        <v>199</v>
      </c>
      <c r="F78" s="5" t="s">
        <v>69</v>
      </c>
      <c r="G78" s="2" t="s">
        <v>111</v>
      </c>
      <c r="H78" s="3" t="s">
        <v>71</v>
      </c>
    </row>
    <row r="79" customFormat="false" ht="15" hidden="false" customHeight="false" outlineLevel="0" collapsed="false">
      <c r="A79" s="2" t="n">
        <v>78</v>
      </c>
      <c r="B79" s="2" t="s">
        <v>202</v>
      </c>
      <c r="C79" s="3" t="s">
        <v>203</v>
      </c>
      <c r="D79" s="3" t="s">
        <v>67</v>
      </c>
      <c r="E79" s="3" t="s">
        <v>199</v>
      </c>
      <c r="F79" s="5" t="s">
        <v>69</v>
      </c>
      <c r="G79" s="2" t="s">
        <v>111</v>
      </c>
      <c r="H79" s="3" t="s">
        <v>71</v>
      </c>
    </row>
    <row r="80" customFormat="false" ht="35.05" hidden="false" customHeight="false" outlineLevel="0" collapsed="false">
      <c r="A80" s="2" t="n">
        <v>79</v>
      </c>
      <c r="B80" s="2" t="s">
        <v>204</v>
      </c>
      <c r="C80" s="3" t="s">
        <v>205</v>
      </c>
      <c r="D80" s="3" t="s">
        <v>67</v>
      </c>
      <c r="E80" s="3" t="s">
        <v>206</v>
      </c>
      <c r="F80" s="6" t="s">
        <v>123</v>
      </c>
      <c r="G80" s="2" t="s">
        <v>111</v>
      </c>
      <c r="H80" s="3" t="s">
        <v>124</v>
      </c>
    </row>
    <row r="81" customFormat="false" ht="15" hidden="false" customHeight="false" outlineLevel="0" collapsed="false">
      <c r="A81" s="2" t="n">
        <v>80</v>
      </c>
      <c r="B81" s="2" t="s">
        <v>207</v>
      </c>
      <c r="C81" s="3" t="s">
        <v>208</v>
      </c>
      <c r="D81" s="3" t="s">
        <v>67</v>
      </c>
      <c r="E81" s="3" t="s">
        <v>209</v>
      </c>
      <c r="F81" s="5" t="s">
        <v>69</v>
      </c>
      <c r="G81" s="2" t="s">
        <v>111</v>
      </c>
      <c r="H81" s="3" t="s">
        <v>71</v>
      </c>
    </row>
    <row r="82" customFormat="false" ht="15" hidden="false" customHeight="false" outlineLevel="0" collapsed="false">
      <c r="A82" s="2" t="n">
        <v>81</v>
      </c>
      <c r="B82" s="2" t="s">
        <v>210</v>
      </c>
      <c r="C82" s="3" t="s">
        <v>211</v>
      </c>
      <c r="D82" s="3" t="s">
        <v>67</v>
      </c>
      <c r="E82" s="3" t="s">
        <v>212</v>
      </c>
      <c r="F82" s="5" t="s">
        <v>69</v>
      </c>
      <c r="G82" s="2" t="s">
        <v>111</v>
      </c>
      <c r="H82" s="3" t="s">
        <v>71</v>
      </c>
    </row>
    <row r="83" customFormat="false" ht="15" hidden="false" customHeight="false" outlineLevel="0" collapsed="false">
      <c r="A83" s="2" t="n">
        <v>82</v>
      </c>
      <c r="B83" s="2" t="s">
        <v>213</v>
      </c>
      <c r="C83" s="3" t="s">
        <v>214</v>
      </c>
      <c r="D83" s="3" t="s">
        <v>67</v>
      </c>
      <c r="E83" s="3" t="s">
        <v>213</v>
      </c>
      <c r="F83" s="5" t="s">
        <v>69</v>
      </c>
      <c r="G83" s="2" t="s">
        <v>111</v>
      </c>
      <c r="H83" s="3" t="s">
        <v>71</v>
      </c>
    </row>
    <row r="84" customFormat="false" ht="15" hidden="false" customHeight="false" outlineLevel="0" collapsed="false">
      <c r="A84" s="2" t="n">
        <v>83</v>
      </c>
      <c r="B84" s="2" t="s">
        <v>215</v>
      </c>
      <c r="C84" s="3" t="s">
        <v>216</v>
      </c>
      <c r="D84" s="3" t="s">
        <v>67</v>
      </c>
      <c r="E84" s="3" t="s">
        <v>149</v>
      </c>
      <c r="F84" s="5" t="s">
        <v>69</v>
      </c>
      <c r="G84" s="2" t="s">
        <v>111</v>
      </c>
      <c r="H84" s="3" t="s">
        <v>71</v>
      </c>
    </row>
    <row r="85" customFormat="false" ht="23.85" hidden="false" customHeight="false" outlineLevel="0" collapsed="false">
      <c r="A85" s="2" t="n">
        <v>84</v>
      </c>
      <c r="B85" s="2" t="s">
        <v>217</v>
      </c>
      <c r="C85" s="3" t="s">
        <v>218</v>
      </c>
      <c r="D85" s="3" t="s">
        <v>67</v>
      </c>
      <c r="E85" s="3" t="s">
        <v>219</v>
      </c>
      <c r="F85" s="4" t="s">
        <v>12</v>
      </c>
      <c r="G85" s="2"/>
      <c r="H85" s="3" t="s">
        <v>220</v>
      </c>
    </row>
    <row r="86" customFormat="false" ht="23.85" hidden="false" customHeight="false" outlineLevel="0" collapsed="false">
      <c r="A86" s="2" t="n">
        <v>85</v>
      </c>
      <c r="B86" s="2" t="s">
        <v>221</v>
      </c>
      <c r="C86" s="3" t="s">
        <v>222</v>
      </c>
      <c r="D86" s="3" t="s">
        <v>67</v>
      </c>
      <c r="E86" s="3" t="s">
        <v>219</v>
      </c>
      <c r="F86" s="4" t="s">
        <v>12</v>
      </c>
      <c r="G86" s="2"/>
      <c r="H86" s="3" t="s">
        <v>220</v>
      </c>
    </row>
    <row r="87" customFormat="false" ht="23.85" hidden="false" customHeight="false" outlineLevel="0" collapsed="false">
      <c r="A87" s="2" t="n">
        <v>86</v>
      </c>
      <c r="B87" s="2" t="s">
        <v>223</v>
      </c>
      <c r="C87" s="3" t="s">
        <v>224</v>
      </c>
      <c r="D87" s="3" t="s">
        <v>67</v>
      </c>
      <c r="E87" s="3" t="s">
        <v>219</v>
      </c>
      <c r="F87" s="4" t="s">
        <v>12</v>
      </c>
      <c r="G87" s="2"/>
      <c r="H87" s="3" t="s">
        <v>220</v>
      </c>
    </row>
    <row r="88" customFormat="false" ht="23.85" hidden="false" customHeight="false" outlineLevel="0" collapsed="false">
      <c r="A88" s="2" t="n">
        <v>87</v>
      </c>
      <c r="B88" s="2" t="s">
        <v>225</v>
      </c>
      <c r="C88" s="3" t="s">
        <v>226</v>
      </c>
      <c r="D88" s="3" t="s">
        <v>67</v>
      </c>
      <c r="E88" s="3" t="s">
        <v>219</v>
      </c>
      <c r="F88" s="4" t="s">
        <v>12</v>
      </c>
      <c r="G88" s="2"/>
      <c r="H88" s="3" t="s">
        <v>220</v>
      </c>
    </row>
    <row r="89" customFormat="false" ht="23.85" hidden="false" customHeight="false" outlineLevel="0" collapsed="false">
      <c r="A89" s="2" t="n">
        <v>88</v>
      </c>
      <c r="B89" s="2" t="s">
        <v>227</v>
      </c>
      <c r="C89" s="3" t="s">
        <v>228</v>
      </c>
      <c r="D89" s="3" t="s">
        <v>67</v>
      </c>
      <c r="E89" s="3" t="s">
        <v>219</v>
      </c>
      <c r="F89" s="4" t="s">
        <v>12</v>
      </c>
      <c r="G89" s="2"/>
      <c r="H89" s="3" t="s">
        <v>220</v>
      </c>
    </row>
    <row r="90" customFormat="false" ht="23.85" hidden="false" customHeight="false" outlineLevel="0" collapsed="false">
      <c r="A90" s="2" t="n">
        <v>89</v>
      </c>
      <c r="B90" s="2" t="s">
        <v>229</v>
      </c>
      <c r="C90" s="3" t="s">
        <v>230</v>
      </c>
      <c r="D90" s="3" t="s">
        <v>67</v>
      </c>
      <c r="E90" s="3" t="s">
        <v>219</v>
      </c>
      <c r="F90" s="4" t="s">
        <v>12</v>
      </c>
      <c r="G90" s="2"/>
      <c r="H90" s="3" t="s">
        <v>220</v>
      </c>
    </row>
    <row r="91" customFormat="false" ht="23.85" hidden="false" customHeight="false" outlineLevel="0" collapsed="false">
      <c r="A91" s="2" t="n">
        <v>90</v>
      </c>
      <c r="B91" s="2" t="s">
        <v>231</v>
      </c>
      <c r="C91" s="3" t="s">
        <v>232</v>
      </c>
      <c r="D91" s="3" t="s">
        <v>67</v>
      </c>
      <c r="E91" s="3" t="s">
        <v>219</v>
      </c>
      <c r="F91" s="4" t="s">
        <v>12</v>
      </c>
      <c r="G91" s="2"/>
      <c r="H91" s="3" t="s">
        <v>220</v>
      </c>
    </row>
    <row r="92" customFormat="false" ht="23.85" hidden="false" customHeight="false" outlineLevel="0" collapsed="false">
      <c r="A92" s="2" t="n">
        <v>91</v>
      </c>
      <c r="B92" s="2" t="s">
        <v>233</v>
      </c>
      <c r="C92" s="3" t="s">
        <v>234</v>
      </c>
      <c r="D92" s="3" t="s">
        <v>67</v>
      </c>
      <c r="E92" s="3" t="s">
        <v>219</v>
      </c>
      <c r="F92" s="4" t="s">
        <v>12</v>
      </c>
      <c r="G92" s="2"/>
      <c r="H92" s="3" t="s">
        <v>220</v>
      </c>
    </row>
    <row r="93" customFormat="false" ht="23.85" hidden="false" customHeight="false" outlineLevel="0" collapsed="false">
      <c r="A93" s="2" t="n">
        <v>92</v>
      </c>
      <c r="B93" s="2" t="s">
        <v>235</v>
      </c>
      <c r="C93" s="3" t="s">
        <v>236</v>
      </c>
      <c r="D93" s="3" t="s">
        <v>67</v>
      </c>
      <c r="E93" s="3" t="s">
        <v>219</v>
      </c>
      <c r="F93" s="4" t="s">
        <v>12</v>
      </c>
      <c r="G93" s="2"/>
      <c r="H93" s="3" t="s">
        <v>220</v>
      </c>
    </row>
    <row r="94" customFormat="false" ht="23.85" hidden="false" customHeight="false" outlineLevel="0" collapsed="false">
      <c r="A94" s="2" t="n">
        <v>93</v>
      </c>
      <c r="B94" s="2" t="s">
        <v>237</v>
      </c>
      <c r="C94" s="3" t="s">
        <v>238</v>
      </c>
      <c r="D94" s="3" t="s">
        <v>67</v>
      </c>
      <c r="E94" s="3" t="s">
        <v>144</v>
      </c>
      <c r="F94" s="4" t="s">
        <v>12</v>
      </c>
      <c r="G94" s="2"/>
      <c r="H94" s="3" t="s">
        <v>220</v>
      </c>
    </row>
    <row r="95" customFormat="false" ht="23.85" hidden="false" customHeight="false" outlineLevel="0" collapsed="false">
      <c r="A95" s="2" t="n">
        <v>94</v>
      </c>
      <c r="B95" s="2" t="s">
        <v>239</v>
      </c>
      <c r="C95" s="3" t="s">
        <v>240</v>
      </c>
      <c r="D95" s="3" t="s">
        <v>67</v>
      </c>
      <c r="E95" s="3" t="s">
        <v>144</v>
      </c>
      <c r="F95" s="4" t="s">
        <v>12</v>
      </c>
      <c r="G95" s="2"/>
      <c r="H95" s="3" t="s">
        <v>220</v>
      </c>
    </row>
    <row r="96" customFormat="false" ht="23.85" hidden="false" customHeight="false" outlineLevel="0" collapsed="false">
      <c r="A96" s="2" t="n">
        <v>95</v>
      </c>
      <c r="B96" s="2" t="s">
        <v>241</v>
      </c>
      <c r="C96" s="3" t="s">
        <v>242</v>
      </c>
      <c r="D96" s="3" t="s">
        <v>67</v>
      </c>
      <c r="E96" s="3" t="s">
        <v>144</v>
      </c>
      <c r="F96" s="4" t="s">
        <v>12</v>
      </c>
      <c r="G96" s="2"/>
      <c r="H96" s="3" t="s">
        <v>220</v>
      </c>
    </row>
    <row r="97" customFormat="false" ht="23.85" hidden="false" customHeight="false" outlineLevel="0" collapsed="false">
      <c r="A97" s="2" t="n">
        <v>96</v>
      </c>
      <c r="B97" s="2" t="s">
        <v>243</v>
      </c>
      <c r="C97" s="3" t="s">
        <v>244</v>
      </c>
      <c r="D97" s="3" t="s">
        <v>67</v>
      </c>
      <c r="E97" s="3" t="s">
        <v>144</v>
      </c>
      <c r="F97" s="4" t="s">
        <v>12</v>
      </c>
      <c r="G97" s="2"/>
      <c r="H97" s="3" t="s">
        <v>220</v>
      </c>
    </row>
    <row r="98" customFormat="false" ht="23.85" hidden="false" customHeight="false" outlineLevel="0" collapsed="false">
      <c r="A98" s="2" t="n">
        <v>97</v>
      </c>
      <c r="B98" s="2" t="s">
        <v>245</v>
      </c>
      <c r="C98" s="3" t="s">
        <v>246</v>
      </c>
      <c r="D98" s="3" t="s">
        <v>67</v>
      </c>
      <c r="E98" s="3" t="s">
        <v>144</v>
      </c>
      <c r="F98" s="4" t="s">
        <v>12</v>
      </c>
      <c r="G98" s="2"/>
      <c r="H98" s="3" t="s">
        <v>220</v>
      </c>
    </row>
    <row r="99" customFormat="false" ht="23.85" hidden="false" customHeight="false" outlineLevel="0" collapsed="false">
      <c r="A99" s="2" t="n">
        <v>98</v>
      </c>
      <c r="B99" s="2" t="s">
        <v>247</v>
      </c>
      <c r="C99" s="3" t="s">
        <v>248</v>
      </c>
      <c r="D99" s="3" t="s">
        <v>67</v>
      </c>
      <c r="E99" s="3" t="s">
        <v>144</v>
      </c>
      <c r="F99" s="4" t="s">
        <v>12</v>
      </c>
      <c r="G99" s="2"/>
      <c r="H99" s="3" t="s">
        <v>220</v>
      </c>
    </row>
    <row r="100" customFormat="false" ht="23.85" hidden="false" customHeight="false" outlineLevel="0" collapsed="false">
      <c r="A100" s="2" t="n">
        <v>99</v>
      </c>
      <c r="B100" s="2" t="s">
        <v>249</v>
      </c>
      <c r="C100" s="3" t="s">
        <v>250</v>
      </c>
      <c r="D100" s="3" t="s">
        <v>67</v>
      </c>
      <c r="E100" s="3" t="s">
        <v>144</v>
      </c>
      <c r="F100" s="4" t="s">
        <v>12</v>
      </c>
      <c r="G100" s="2"/>
      <c r="H100" s="3" t="s">
        <v>220</v>
      </c>
    </row>
    <row r="101" customFormat="false" ht="23.85" hidden="false" customHeight="false" outlineLevel="0" collapsed="false">
      <c r="A101" s="2" t="n">
        <v>100</v>
      </c>
      <c r="B101" s="2" t="s">
        <v>251</v>
      </c>
      <c r="C101" s="3" t="s">
        <v>252</v>
      </c>
      <c r="D101" s="3" t="s">
        <v>67</v>
      </c>
      <c r="E101" s="3" t="s">
        <v>144</v>
      </c>
      <c r="F101" s="4" t="s">
        <v>12</v>
      </c>
      <c r="G101" s="2"/>
      <c r="H101" s="3" t="s">
        <v>220</v>
      </c>
    </row>
    <row r="102" customFormat="false" ht="23.85" hidden="false" customHeight="false" outlineLevel="0" collapsed="false">
      <c r="A102" s="2" t="n">
        <v>101</v>
      </c>
      <c r="B102" s="2" t="s">
        <v>253</v>
      </c>
      <c r="C102" s="3" t="s">
        <v>254</v>
      </c>
      <c r="D102" s="3" t="s">
        <v>67</v>
      </c>
      <c r="E102" s="3" t="s">
        <v>133</v>
      </c>
      <c r="F102" s="4" t="s">
        <v>12</v>
      </c>
      <c r="G102" s="2"/>
      <c r="H102" s="3" t="s">
        <v>220</v>
      </c>
    </row>
    <row r="103" customFormat="false" ht="23.85" hidden="false" customHeight="false" outlineLevel="0" collapsed="false">
      <c r="A103" s="2" t="n">
        <v>102</v>
      </c>
      <c r="B103" s="2" t="s">
        <v>255</v>
      </c>
      <c r="C103" s="3" t="s">
        <v>256</v>
      </c>
      <c r="D103" s="3" t="s">
        <v>67</v>
      </c>
      <c r="E103" s="3" t="s">
        <v>133</v>
      </c>
      <c r="F103" s="4" t="s">
        <v>12</v>
      </c>
      <c r="G103" s="2"/>
      <c r="H103" s="3" t="s">
        <v>220</v>
      </c>
    </row>
    <row r="104" customFormat="false" ht="23.85" hidden="false" customHeight="false" outlineLevel="0" collapsed="false">
      <c r="A104" s="2" t="n">
        <v>103</v>
      </c>
      <c r="B104" s="2" t="s">
        <v>257</v>
      </c>
      <c r="C104" s="3" t="s">
        <v>258</v>
      </c>
      <c r="D104" s="3" t="s">
        <v>67</v>
      </c>
      <c r="E104" s="3" t="s">
        <v>133</v>
      </c>
      <c r="F104" s="4" t="s">
        <v>12</v>
      </c>
      <c r="G104" s="2"/>
      <c r="H104" s="3" t="s">
        <v>220</v>
      </c>
    </row>
    <row r="105" customFormat="false" ht="23.85" hidden="false" customHeight="false" outlineLevel="0" collapsed="false">
      <c r="A105" s="2" t="n">
        <v>104</v>
      </c>
      <c r="B105" s="2" t="s">
        <v>259</v>
      </c>
      <c r="C105" s="3" t="s">
        <v>260</v>
      </c>
      <c r="D105" s="3" t="s">
        <v>67</v>
      </c>
      <c r="E105" s="3" t="s">
        <v>133</v>
      </c>
      <c r="F105" s="4" t="s">
        <v>12</v>
      </c>
      <c r="G105" s="2"/>
      <c r="H105" s="3" t="s">
        <v>220</v>
      </c>
    </row>
    <row r="106" customFormat="false" ht="23.85" hidden="false" customHeight="false" outlineLevel="0" collapsed="false">
      <c r="A106" s="2" t="n">
        <v>105</v>
      </c>
      <c r="B106" s="2" t="s">
        <v>261</v>
      </c>
      <c r="C106" s="3" t="s">
        <v>262</v>
      </c>
      <c r="D106" s="3" t="s">
        <v>67</v>
      </c>
      <c r="E106" s="3" t="s">
        <v>133</v>
      </c>
      <c r="F106" s="4" t="s">
        <v>12</v>
      </c>
      <c r="G106" s="2"/>
      <c r="H106" s="3" t="s">
        <v>220</v>
      </c>
    </row>
    <row r="107" customFormat="false" ht="23.85" hidden="false" customHeight="false" outlineLevel="0" collapsed="false">
      <c r="A107" s="2" t="n">
        <v>106</v>
      </c>
      <c r="B107" s="2" t="s">
        <v>263</v>
      </c>
      <c r="C107" s="3" t="s">
        <v>264</v>
      </c>
      <c r="D107" s="3" t="s">
        <v>67</v>
      </c>
      <c r="E107" s="3" t="s">
        <v>139</v>
      </c>
      <c r="F107" s="4" t="s">
        <v>12</v>
      </c>
      <c r="G107" s="2"/>
      <c r="H107" s="3" t="s">
        <v>220</v>
      </c>
    </row>
    <row r="108" customFormat="false" ht="23.85" hidden="false" customHeight="false" outlineLevel="0" collapsed="false">
      <c r="A108" s="2" t="n">
        <v>107</v>
      </c>
      <c r="B108" s="2" t="s">
        <v>265</v>
      </c>
      <c r="C108" s="3" t="s">
        <v>266</v>
      </c>
      <c r="D108" s="3" t="s">
        <v>67</v>
      </c>
      <c r="E108" s="3" t="s">
        <v>139</v>
      </c>
      <c r="F108" s="4" t="s">
        <v>12</v>
      </c>
      <c r="G108" s="2"/>
      <c r="H108" s="3" t="s">
        <v>220</v>
      </c>
    </row>
    <row r="109" customFormat="false" ht="23.85" hidden="false" customHeight="false" outlineLevel="0" collapsed="false">
      <c r="A109" s="2" t="n">
        <v>108</v>
      </c>
      <c r="B109" s="2" t="s">
        <v>267</v>
      </c>
      <c r="C109" s="3" t="s">
        <v>268</v>
      </c>
      <c r="D109" s="3" t="s">
        <v>67</v>
      </c>
      <c r="E109" s="3" t="s">
        <v>139</v>
      </c>
      <c r="F109" s="4" t="s">
        <v>12</v>
      </c>
      <c r="G109" s="2"/>
      <c r="H109" s="3" t="s">
        <v>220</v>
      </c>
    </row>
    <row r="110" customFormat="false" ht="23.85" hidden="false" customHeight="false" outlineLevel="0" collapsed="false">
      <c r="A110" s="2" t="n">
        <v>109</v>
      </c>
      <c r="B110" s="2" t="s">
        <v>269</v>
      </c>
      <c r="C110" s="3" t="s">
        <v>270</v>
      </c>
      <c r="D110" s="3" t="s">
        <v>67</v>
      </c>
      <c r="E110" s="3" t="s">
        <v>139</v>
      </c>
      <c r="F110" s="4" t="s">
        <v>12</v>
      </c>
      <c r="G110" s="2"/>
      <c r="H110" s="3" t="s">
        <v>220</v>
      </c>
    </row>
    <row r="111" customFormat="false" ht="23.85" hidden="false" customHeight="false" outlineLevel="0" collapsed="false">
      <c r="A111" s="2" t="n">
        <v>110</v>
      </c>
      <c r="B111" s="2" t="s">
        <v>271</v>
      </c>
      <c r="C111" s="3" t="s">
        <v>272</v>
      </c>
      <c r="D111" s="3" t="s">
        <v>67</v>
      </c>
      <c r="E111" s="3" t="s">
        <v>273</v>
      </c>
      <c r="F111" s="4" t="s">
        <v>12</v>
      </c>
      <c r="G111" s="2"/>
      <c r="H111" s="3" t="s">
        <v>220</v>
      </c>
    </row>
    <row r="112" customFormat="false" ht="23.85" hidden="false" customHeight="false" outlineLevel="0" collapsed="false">
      <c r="A112" s="2" t="n">
        <v>111</v>
      </c>
      <c r="B112" s="2" t="s">
        <v>274</v>
      </c>
      <c r="C112" s="3" t="s">
        <v>275</v>
      </c>
      <c r="D112" s="3" t="s">
        <v>67</v>
      </c>
      <c r="E112" s="3" t="s">
        <v>273</v>
      </c>
      <c r="F112" s="4" t="s">
        <v>12</v>
      </c>
      <c r="G112" s="2"/>
      <c r="H112" s="3" t="s">
        <v>220</v>
      </c>
    </row>
    <row r="113" customFormat="false" ht="23.85" hidden="false" customHeight="false" outlineLevel="0" collapsed="false">
      <c r="A113" s="2" t="n">
        <v>112</v>
      </c>
      <c r="B113" s="2" t="s">
        <v>276</v>
      </c>
      <c r="C113" s="3" t="s">
        <v>277</v>
      </c>
      <c r="D113" s="3" t="s">
        <v>67</v>
      </c>
      <c r="E113" s="3" t="s">
        <v>273</v>
      </c>
      <c r="F113" s="4" t="s">
        <v>12</v>
      </c>
      <c r="G113" s="2"/>
      <c r="H113" s="3" t="s">
        <v>220</v>
      </c>
    </row>
    <row r="114" customFormat="false" ht="23.85" hidden="false" customHeight="false" outlineLevel="0" collapsed="false">
      <c r="A114" s="2" t="n">
        <v>113</v>
      </c>
      <c r="B114" s="2" t="s">
        <v>278</v>
      </c>
      <c r="C114" s="3" t="s">
        <v>279</v>
      </c>
      <c r="D114" s="3" t="s">
        <v>67</v>
      </c>
      <c r="E114" s="3" t="s">
        <v>280</v>
      </c>
      <c r="F114" s="4" t="s">
        <v>12</v>
      </c>
      <c r="G114" s="2"/>
      <c r="H114" s="3" t="s">
        <v>220</v>
      </c>
    </row>
    <row r="115" customFormat="false" ht="23.85" hidden="false" customHeight="false" outlineLevel="0" collapsed="false">
      <c r="A115" s="2" t="n">
        <v>114</v>
      </c>
      <c r="B115" s="2" t="s">
        <v>281</v>
      </c>
      <c r="C115" s="3" t="s">
        <v>282</v>
      </c>
      <c r="D115" s="3" t="s">
        <v>67</v>
      </c>
      <c r="E115" s="3" t="s">
        <v>280</v>
      </c>
      <c r="F115" s="4" t="s">
        <v>12</v>
      </c>
      <c r="G115" s="2"/>
      <c r="H115" s="3" t="s">
        <v>220</v>
      </c>
    </row>
    <row r="116" customFormat="false" ht="23.85" hidden="false" customHeight="false" outlineLevel="0" collapsed="false">
      <c r="A116" s="2" t="n">
        <v>115</v>
      </c>
      <c r="B116" s="2" t="s">
        <v>283</v>
      </c>
      <c r="C116" s="3" t="s">
        <v>284</v>
      </c>
      <c r="D116" s="3" t="s">
        <v>67</v>
      </c>
      <c r="E116" s="3" t="s">
        <v>280</v>
      </c>
      <c r="F116" s="4" t="s">
        <v>12</v>
      </c>
      <c r="G116" s="2"/>
      <c r="H116" s="3" t="s">
        <v>220</v>
      </c>
    </row>
    <row r="117" customFormat="false" ht="23.85" hidden="false" customHeight="false" outlineLevel="0" collapsed="false">
      <c r="A117" s="2" t="n">
        <v>116</v>
      </c>
      <c r="B117" s="2" t="s">
        <v>285</v>
      </c>
      <c r="C117" s="3" t="s">
        <v>286</v>
      </c>
      <c r="D117" s="3" t="s">
        <v>67</v>
      </c>
      <c r="E117" s="3" t="s">
        <v>287</v>
      </c>
      <c r="F117" s="4" t="s">
        <v>12</v>
      </c>
      <c r="G117" s="2"/>
      <c r="H117" s="3" t="s">
        <v>220</v>
      </c>
    </row>
  </sheetData>
  <autoFilter ref="A1:H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7" t="s">
        <v>288</v>
      </c>
      <c r="B1" s="8"/>
    </row>
    <row r="2" customFormat="false" ht="15" hidden="false" customHeight="false" outlineLevel="0" collapsed="false">
      <c r="A2" s="8"/>
      <c r="B2" s="8"/>
    </row>
    <row r="3" customFormat="false" ht="15" hidden="false" customHeight="false" outlineLevel="0" collapsed="false">
      <c r="A3" s="9" t="s">
        <v>289</v>
      </c>
      <c r="B3" s="9" t="s">
        <v>290</v>
      </c>
    </row>
    <row r="4" customFormat="false" ht="15" hidden="false" customHeight="false" outlineLevel="0" collapsed="false">
      <c r="A4" s="8" t="s">
        <v>291</v>
      </c>
      <c r="B4" s="8" t="n">
        <f aca="false">COUNTIF('Daftar Kode'!F2:F117,"SATUSEHAT + WHO")</f>
        <v>57</v>
      </c>
    </row>
    <row r="5" customFormat="false" ht="15" hidden="false" customHeight="false" outlineLevel="0" collapsed="false">
      <c r="A5" s="8" t="s">
        <v>292</v>
      </c>
      <c r="B5" s="8" t="n">
        <f aca="false">COUNTIF('Daftar Kode'!F2:F117,"SATUSEHAT (tidak ada di WHO 2010)")</f>
        <v>2</v>
      </c>
    </row>
    <row r="6" customFormat="false" ht="15" hidden="false" customHeight="false" outlineLevel="0" collapsed="false">
      <c r="A6" s="8" t="s">
        <v>293</v>
      </c>
      <c r="B6" s="8" t="n">
        <f aca="false">COUNTIF('Daftar Kode'!F2:F117,"WHO")</f>
        <v>57</v>
      </c>
    </row>
    <row r="7" customFormat="false" ht="15" hidden="false" customHeight="false" outlineLevel="0" collapsed="false">
      <c r="A7" s="10" t="s">
        <v>294</v>
      </c>
      <c r="B7" s="10" t="n">
        <f aca="false">SUM(B4:B6)</f>
        <v>116</v>
      </c>
    </row>
    <row r="8" customFormat="false" ht="15" hidden="false" customHeight="false" outlineLevel="0" collapsed="false">
      <c r="A8" s="8"/>
      <c r="B8" s="8"/>
    </row>
    <row r="9" customFormat="false" ht="15" hidden="false" customHeight="false" outlineLevel="0" collapsed="false">
      <c r="A9" s="9" t="s">
        <v>295</v>
      </c>
      <c r="B9" s="9" t="s">
        <v>290</v>
      </c>
    </row>
    <row r="10" customFormat="false" ht="15" hidden="false" customHeight="false" outlineLevel="0" collapsed="false">
      <c r="A10" s="8" t="s">
        <v>10</v>
      </c>
      <c r="B10" s="8" t="n">
        <f aca="false">COUNTIF('Daftar Kode'!D2:D117,"Kunjungan (Bab Z)")</f>
        <v>24</v>
      </c>
    </row>
    <row r="11" customFormat="false" ht="15" hidden="false" customHeight="false" outlineLevel="0" collapsed="false">
      <c r="A11" s="8" t="s">
        <v>67</v>
      </c>
      <c r="B11" s="8" t="n">
        <f aca="false">COUNTIF('Daftar Kode'!D2:D117,"Penyulit (Bab O)")</f>
        <v>92</v>
      </c>
    </row>
    <row r="12" customFormat="false" ht="15" hidden="false" customHeight="false" outlineLevel="0" collapsed="false">
      <c r="A12" s="10" t="s">
        <v>294</v>
      </c>
      <c r="B12" s="10" t="n">
        <f aca="false">SUM(B10:B11)</f>
        <v>116</v>
      </c>
    </row>
    <row r="13" customFormat="false" ht="15" hidden="false" customHeight="false" outlineLevel="0" collapsed="false">
      <c r="A13" s="8"/>
      <c r="B13" s="8"/>
    </row>
    <row r="14" customFormat="false" ht="15" hidden="false" customHeight="false" outlineLevel="0" collapsed="false">
      <c r="A14" s="9" t="s">
        <v>296</v>
      </c>
      <c r="B14" s="9" t="s">
        <v>290</v>
      </c>
    </row>
    <row r="15" customFormat="false" ht="15" hidden="false" customHeight="false" outlineLevel="0" collapsed="false">
      <c r="A15" s="8" t="s">
        <v>297</v>
      </c>
      <c r="B15" s="8" t="n">
        <f aca="false">COUNTIF('Daftar Kode'!F2:F117,"SATUSEHAT*")</f>
        <v>59</v>
      </c>
    </row>
    <row r="16" customFormat="false" ht="15" hidden="false" customHeight="false" outlineLevel="0" collapsed="false">
      <c r="A16" s="8" t="s">
        <v>298</v>
      </c>
      <c r="B16" s="8" t="n">
        <f aca="false">COUNTA('Daftar Kode'!B2:B117)</f>
        <v>116</v>
      </c>
    </row>
    <row r="17" customFormat="false" ht="15" hidden="false" customHeight="false" outlineLevel="0" collapsed="false">
      <c r="A17" s="10"/>
      <c r="B17" s="8"/>
    </row>
    <row r="18" customFormat="false" ht="43.5" hidden="false" customHeight="true" outlineLevel="0" collapsed="false">
      <c r="A18" s="11" t="s">
        <v>299</v>
      </c>
      <c r="B18" s="11"/>
      <c r="C18" s="11"/>
      <c r="D18" s="11"/>
      <c r="E18" s="11"/>
      <c r="F18" s="11"/>
    </row>
    <row r="19" customFormat="false" ht="43.5" hidden="false" customHeight="true" outlineLevel="0" collapsed="false">
      <c r="A19" s="11" t="s">
        <v>300</v>
      </c>
      <c r="B19" s="11"/>
      <c r="C19" s="11"/>
      <c r="D19" s="11"/>
      <c r="E19" s="11"/>
      <c r="F19" s="11"/>
    </row>
    <row r="20" customFormat="false" ht="43.5" hidden="false" customHeight="true" outlineLevel="0" collapsed="false">
      <c r="A20" s="11" t="s">
        <v>301</v>
      </c>
      <c r="B20" s="11"/>
      <c r="C20" s="11"/>
      <c r="D20" s="11"/>
      <c r="E20" s="11"/>
      <c r="F20" s="11"/>
    </row>
    <row r="21" customFormat="false" ht="43.5" hidden="false" customHeight="true" outlineLevel="0" collapsed="false">
      <c r="A21" s="11" t="s">
        <v>302</v>
      </c>
      <c r="B21" s="11"/>
      <c r="C21" s="11"/>
      <c r="D21" s="11"/>
      <c r="E21" s="11"/>
      <c r="F21" s="11"/>
    </row>
    <row r="22" customFormat="false" ht="15" hidden="false" customHeight="false" outlineLevel="0" collapsed="false">
      <c r="A22" s="8" t="s">
        <v>303</v>
      </c>
      <c r="B22" s="8"/>
    </row>
  </sheetData>
  <mergeCells count="4"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2026-09-29T13:09:04Z</dcterms:created>
  <dc:creator>openpyxl</dc:creator>
  <dc:description/>
  <dc:language>en-US</dc:language>
  <cp:lastModifiedBy/>
  <dcterms:modified xsi:type="dcterms:W3CDTF">2026-09-29T13:09:04Z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